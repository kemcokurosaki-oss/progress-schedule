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kemcojp.sharepoint.com/sites/msteams_27f37a/Shared Documents/01　工程進捗/"/>
    </mc:Choice>
  </mc:AlternateContent>
  <xr:revisionPtr revIDLastSave="9354" documentId="8_{EC9FBA47-EB9A-431A-B0CE-F2BF4D8C850E}" xr6:coauthVersionLast="47" xr6:coauthVersionMax="47" xr10:uidLastSave="{8FF25312-A602-45DE-A0B8-3215ADDF7DA8}"/>
  <bookViews>
    <workbookView xWindow="-120" yWindow="-120" windowWidth="29040" windowHeight="17520" firstSheet="2" activeTab="1" xr2:uid="{23A0B5F6-56B7-44D1-AC21-BC6F930A06CD}"/>
  </bookViews>
  <sheets>
    <sheet name="2000番" sheetId="9" r:id="rId1"/>
    <sheet name="3000番" sheetId="10" r:id="rId2"/>
    <sheet name="4000番" sheetId="11" r:id="rId3"/>
    <sheet name="D番" sheetId="12" r:id="rId4"/>
    <sheet name="7000番" sheetId="6" r:id="rId5"/>
    <sheet name="Sheet1" sheetId="5" r:id="rId6"/>
    <sheet name="進捗状況" sheetId="8" r:id="rId7"/>
  </sheets>
  <definedNames>
    <definedName name="_xlnm._FilterDatabase" localSheetId="4" hidden="1">'7000番'!$B$3:$O$4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8" l="1"/>
  <c r="D11" i="8"/>
  <c r="D10" i="8"/>
  <c r="D9" i="8"/>
  <c r="D8" i="8"/>
  <c r="D7" i="8"/>
  <c r="D6" i="8"/>
  <c r="D5" i="8"/>
  <c r="D4" i="8"/>
  <c r="D3" i="8"/>
</calcChain>
</file>

<file path=xl/sharedStrings.xml><?xml version="1.0" encoding="utf-8"?>
<sst xmlns="http://schemas.openxmlformats.org/spreadsheetml/2006/main" count="782" uniqueCount="201">
  <si>
    <t>2000番</t>
  </si>
  <si>
    <t>工事番号</t>
  </si>
  <si>
    <t>客先</t>
  </si>
  <si>
    <t>機械</t>
  </si>
  <si>
    <t>受注説明会</t>
  </si>
  <si>
    <t>客先承認</t>
  </si>
  <si>
    <t>長納期
購入品手配</t>
  </si>
  <si>
    <t>長納期
部品手配</t>
  </si>
  <si>
    <t>艤装</t>
  </si>
  <si>
    <t>機械組立</t>
  </si>
  <si>
    <t>電気艤装</t>
  </si>
  <si>
    <t>盤組</t>
  </si>
  <si>
    <t>外観検査</t>
  </si>
  <si>
    <t>試運転</t>
  </si>
  <si>
    <t>客先立会</t>
  </si>
  <si>
    <t>出荷確認会議</t>
  </si>
  <si>
    <t>出荷準備</t>
  </si>
  <si>
    <t>工場出荷</t>
  </si>
  <si>
    <t>備考欄</t>
  </si>
  <si>
    <t>出図</t>
  </si>
  <si>
    <t>製作</t>
  </si>
  <si>
    <t>株式会社三五</t>
  </si>
  <si>
    <t>LE</t>
  </si>
  <si>
    <t>済</t>
  </si>
  <si>
    <t>✓</t>
  </si>
  <si>
    <t>検討が必要なものは8月～12月の土日工事で追加据付・改造
お盆以降は土日しか大型機械の搬入できない</t>
  </si>
  <si>
    <t>PC</t>
  </si>
  <si>
    <t>WA</t>
  </si>
  <si>
    <t>ー</t>
  </si>
  <si>
    <t>FS</t>
  </si>
  <si>
    <t>FSBT</t>
  </si>
  <si>
    <t>TC</t>
  </si>
  <si>
    <t>RT/TR</t>
  </si>
  <si>
    <t>FL</t>
  </si>
  <si>
    <t>日鉄鋼管　名古屋</t>
  </si>
  <si>
    <t>DF</t>
  </si>
  <si>
    <t>11月末</t>
  </si>
  <si>
    <t>12月中</t>
  </si>
  <si>
    <t>現地工事年末年始</t>
  </si>
  <si>
    <t>大栄鋼業</t>
  </si>
  <si>
    <t>日鉄建材　仙台</t>
  </si>
  <si>
    <t>TR前</t>
  </si>
  <si>
    <t>TR後</t>
  </si>
  <si>
    <t>Panasonic SPT(Thailand)co.,LTD</t>
  </si>
  <si>
    <t>Quality Tube Holdings INC</t>
  </si>
  <si>
    <t>Jiaxing Yongli Precise Steel Pipe Co., Ltd</t>
  </si>
  <si>
    <t>3000番</t>
  </si>
  <si>
    <t>部品製作</t>
  </si>
  <si>
    <t>現地工事</t>
  </si>
  <si>
    <t>株式会社ティラド　滋賀製作所</t>
  </si>
  <si>
    <t>EN</t>
  </si>
  <si>
    <t>8月頃</t>
  </si>
  <si>
    <t>現地SVのみ</t>
  </si>
  <si>
    <t>新家工業株式会社　関西工場</t>
  </si>
  <si>
    <t>9月下旬～10月初旬</t>
  </si>
  <si>
    <t>名古屋パイプ株式会社 行橋工場</t>
  </si>
  <si>
    <t>前川さん持ち込み</t>
  </si>
  <si>
    <t>マレリ株式会社　群馬工場</t>
  </si>
  <si>
    <t>株式会社中山製鋼所　大分工場</t>
  </si>
  <si>
    <t>7月中旬</t>
  </si>
  <si>
    <t>7月末</t>
  </si>
  <si>
    <t>丸一鋼管株式会社　名古屋工場</t>
  </si>
  <si>
    <t>7/18～20</t>
  </si>
  <si>
    <t>日鉄めっき鋼管株式会社 蒲郡工場</t>
  </si>
  <si>
    <t>UC</t>
  </si>
  <si>
    <t>7/11～13</t>
  </si>
  <si>
    <t>パナソニックSPT㈱鹿嶋工場</t>
  </si>
  <si>
    <t>SV</t>
  </si>
  <si>
    <t>7/2～6</t>
  </si>
  <si>
    <t>東京製鐵株式会社　田原工場</t>
  </si>
  <si>
    <t>未定</t>
  </si>
  <si>
    <t>7/15～16or23～24</t>
  </si>
  <si>
    <t>RG</t>
  </si>
  <si>
    <t>日鉄めっき鋼管株式会社 下妻工場</t>
  </si>
  <si>
    <t>日鉄ステンレス鋼管株式会社　尼崎工場</t>
  </si>
  <si>
    <t>3C55</t>
  </si>
  <si>
    <t>3T13報告書作成後に受注</t>
  </si>
  <si>
    <t>4000番</t>
  </si>
  <si>
    <t>Tenaris Saudi Steel Pipes</t>
  </si>
  <si>
    <t>MC</t>
  </si>
  <si>
    <t>？</t>
  </si>
  <si>
    <t>SVは延期</t>
  </si>
  <si>
    <t>MARUICHI KUMA STEEL TUBE PVT. LTD. GUJARAT PLANT</t>
  </si>
  <si>
    <t>RC</t>
  </si>
  <si>
    <t>2026/8頃</t>
  </si>
  <si>
    <t>NIPPON STEEL PIPE MEXICO S.A. DE C.V.</t>
  </si>
  <si>
    <t>10/4～11</t>
  </si>
  <si>
    <t>電気、試運転</t>
  </si>
  <si>
    <t>Wheatland Tube Company - Rochelle</t>
  </si>
  <si>
    <t>6/18～7/1</t>
  </si>
  <si>
    <t>センティル</t>
  </si>
  <si>
    <t>Atlas Tube Canada ULC</t>
  </si>
  <si>
    <t>6/23～7/7</t>
  </si>
  <si>
    <t>株式会社ホンダトレーディング</t>
  </si>
  <si>
    <t>4C01</t>
  </si>
  <si>
    <t>4C02</t>
  </si>
  <si>
    <t>4C03</t>
  </si>
  <si>
    <t>Atlas Tube(Arkansas), Inc</t>
  </si>
  <si>
    <t>4C05</t>
  </si>
  <si>
    <t>Maruichi Leavitt Pipe &amp; Tube, LLC</t>
  </si>
  <si>
    <t>4C06</t>
  </si>
  <si>
    <t>4C07</t>
  </si>
  <si>
    <t>4C08</t>
  </si>
  <si>
    <t>Wheatland Tube Company - Blytheville</t>
  </si>
  <si>
    <t>4C09</t>
  </si>
  <si>
    <t>4C10</t>
  </si>
  <si>
    <t>4C11</t>
  </si>
  <si>
    <t>4C12</t>
  </si>
  <si>
    <t>4C13</t>
  </si>
  <si>
    <t>MARCEGAGLIA UK Ltd.</t>
  </si>
  <si>
    <t>清掃/解体</t>
  </si>
  <si>
    <t>点検</t>
  </si>
  <si>
    <t>報告書作成</t>
  </si>
  <si>
    <t>4T08</t>
  </si>
  <si>
    <t>D番</t>
  </si>
  <si>
    <t>外観検査
（簡易検査）</t>
  </si>
  <si>
    <t>D194</t>
  </si>
  <si>
    <t>D195</t>
  </si>
  <si>
    <t>フタバ産業株式会社　田原工場</t>
  </si>
  <si>
    <t>D198</t>
  </si>
  <si>
    <t>D199</t>
  </si>
  <si>
    <t>D201</t>
  </si>
  <si>
    <t>D200</t>
  </si>
  <si>
    <t>日本製鉄株式会社　関西製鉄所　大阪地区（尼崎）</t>
  </si>
  <si>
    <t>7000番台</t>
  </si>
  <si>
    <t>工番</t>
    <rPh sb="0" eb="2">
      <t>コウバン</t>
    </rPh>
    <phoneticPr fontId="1"/>
  </si>
  <si>
    <t>親工番</t>
  </si>
  <si>
    <t>機械</t>
    <rPh sb="0" eb="2">
      <t>キカイ</t>
    </rPh>
    <phoneticPr fontId="1"/>
  </si>
  <si>
    <t>ユニット</t>
    <phoneticPr fontId="1"/>
  </si>
  <si>
    <t>担当</t>
    <rPh sb="0" eb="2">
      <t>タントウ</t>
    </rPh>
    <phoneticPr fontId="1"/>
  </si>
  <si>
    <t>項目</t>
    <rPh sb="0" eb="2">
      <t>コウモク</t>
    </rPh>
    <phoneticPr fontId="1"/>
  </si>
  <si>
    <t>設計担当</t>
    <rPh sb="0" eb="2">
      <t>セッケイ</t>
    </rPh>
    <rPh sb="2" eb="4">
      <t>タントウ</t>
    </rPh>
    <phoneticPr fontId="4"/>
  </si>
  <si>
    <t>施工担当</t>
    <rPh sb="0" eb="2">
      <t>セコウ</t>
    </rPh>
    <rPh sb="2" eb="4">
      <t>タントウ</t>
    </rPh>
    <phoneticPr fontId="4"/>
  </si>
  <si>
    <t>進捗状況</t>
    <rPh sb="0" eb="4">
      <t>シンチョクジョウキョウ</t>
    </rPh>
    <phoneticPr fontId="4"/>
  </si>
  <si>
    <t>進捗完了日</t>
  </si>
  <si>
    <t>施工予定日</t>
    <rPh sb="0" eb="2">
      <t>セコウ</t>
    </rPh>
    <rPh sb="2" eb="5">
      <t>ヨテイビ</t>
    </rPh>
    <phoneticPr fontId="4"/>
  </si>
  <si>
    <t>完了日</t>
    <rPh sb="0" eb="2">
      <t>カンリョウ</t>
    </rPh>
    <phoneticPr fontId="4"/>
  </si>
  <si>
    <t>詳細・対応策</t>
    <rPh sb="0" eb="2">
      <t>ショウサイ</t>
    </rPh>
    <rPh sb="3" eb="5">
      <t>タイオウ</t>
    </rPh>
    <rPh sb="5" eb="6">
      <t>サク</t>
    </rPh>
    <phoneticPr fontId="1"/>
  </si>
  <si>
    <t>Premium Steel Processing</t>
  </si>
  <si>
    <t>岡本D</t>
  </si>
  <si>
    <t>シャーピースの対応</t>
  </si>
  <si>
    <t>藤山</t>
  </si>
  <si>
    <t>7 ペンディング</t>
  </si>
  <si>
    <t>ロードセル客先テストを行う
５月中に打ち合わせ。
→客先連絡待ち
9/2専務訪問時にフォロー</t>
  </si>
  <si>
    <t>津村D</t>
  </si>
  <si>
    <t>・油漏れ配管のやり直しGWに実施予定
・テレスコシリンダー手配中2月入予定
・バンド切りエアホース継手破損手配中1/22納期</t>
  </si>
  <si>
    <t>津田
柴田</t>
  </si>
  <si>
    <t>2 製作・手配中</t>
  </si>
  <si>
    <t>丸一名古屋</t>
  </si>
  <si>
    <t>DF
・バイト損傷再製作→納品済み
・カバー破損再製作→改造が必要設計中</t>
  </si>
  <si>
    <t>檀</t>
  </si>
  <si>
    <t>3 納品済み</t>
  </si>
  <si>
    <t>Mannesmann Precision Tubes GmbH Hamm</t>
  </si>
  <si>
    <t>銭BD</t>
  </si>
  <si>
    <t>刃物割れ発生　再製作後に納入　3/4納入予定
カップリングと一緒に出荷</t>
  </si>
  <si>
    <t>田中(善)</t>
  </si>
  <si>
    <t>Mannesmann Precision Tubes GmbH Wickede Plant</t>
  </si>
  <si>
    <t>・DUブシュ手配漏れ→出荷済み
・耐圧試験の証明書の提出</t>
  </si>
  <si>
    <t>藤山
檀</t>
  </si>
  <si>
    <t>ブラケット改造工事11/25～組立</t>
  </si>
  <si>
    <t>早川</t>
  </si>
  <si>
    <t>4 施工中</t>
  </si>
  <si>
    <t>福島帯鋼株式会社</t>
  </si>
  <si>
    <t>切粉によるクランプ時のパイプキズ発生
安川アンプのエラー発生</t>
  </si>
  <si>
    <t>大重
前田</t>
  </si>
  <si>
    <t>9 現地対応</t>
  </si>
  <si>
    <t>11/17　ソフトで対応予定
1/9に現地訪問予定
パイプのたれ対策が必要　状況が曖昧なため、追加調査</t>
  </si>
  <si>
    <t>鉄ダイセットアルミ軽量化改造工事部品製作</t>
  </si>
  <si>
    <t>2/27出荷</t>
  </si>
  <si>
    <t>ダイセット修理用無償工事</t>
  </si>
  <si>
    <t>ダイセット解体後東レに発送ずみ</t>
  </si>
  <si>
    <t>3168トランス手配間違い、再現地工事</t>
  </si>
  <si>
    <t>トランス納期2/6、現地工事3月</t>
  </si>
  <si>
    <t>日本製鉄株式会社　名古屋製鉄所　鋼管部　小径電縫管工場</t>
  </si>
  <si>
    <t>展久</t>
  </si>
  <si>
    <t>チップホルダー製作</t>
  </si>
  <si>
    <t>大阪製鐵株式会社　堺工場</t>
  </si>
  <si>
    <t>電気ノイズ対策</t>
  </si>
  <si>
    <t>工事は客先手配、費用は日下部負担、SVあり</t>
  </si>
  <si>
    <t>5E 17</t>
  </si>
  <si>
    <t>日本製鉄　東日本製鉄所　鹿島電縫管工場</t>
  </si>
  <si>
    <t>麻生K</t>
  </si>
  <si>
    <t>ラバーピース再製作</t>
  </si>
  <si>
    <t>新家工業株式会社　千葉工場</t>
  </si>
  <si>
    <t>製作間違いにより再製作</t>
  </si>
  <si>
    <t>安全扉設置</t>
  </si>
  <si>
    <t>日鉄建材株式会社　仙台製造所</t>
  </si>
  <si>
    <t>蘇州事達同泰汽車零部件有限公司</t>
  </si>
  <si>
    <t>NIPPON STEEL PIPE INDIA PVT. LTD.</t>
  </si>
  <si>
    <t>No.</t>
    <phoneticPr fontId="4"/>
  </si>
  <si>
    <t>No.+進捗状況</t>
    <rPh sb="4" eb="8">
      <t>シ</t>
    </rPh>
    <phoneticPr fontId="4"/>
  </si>
  <si>
    <t>未着手</t>
    <rPh sb="0" eb="3">
      <t>ミチャクシュ</t>
    </rPh>
    <phoneticPr fontId="4"/>
  </si>
  <si>
    <t>設計中</t>
    <rPh sb="0" eb="2">
      <t>セッケイ</t>
    </rPh>
    <rPh sb="2" eb="3">
      <t>チュウ</t>
    </rPh>
    <phoneticPr fontId="4"/>
  </si>
  <si>
    <t>製作・手配中</t>
    <rPh sb="0" eb="2">
      <t>セイサク</t>
    </rPh>
    <rPh sb="3" eb="5">
      <t>テハイ</t>
    </rPh>
    <rPh sb="5" eb="6">
      <t>チュウ</t>
    </rPh>
    <phoneticPr fontId="4"/>
  </si>
  <si>
    <t>納品済み</t>
    <rPh sb="0" eb="2">
      <t>ノウヒン</t>
    </rPh>
    <rPh sb="2" eb="3">
      <t>ズ</t>
    </rPh>
    <phoneticPr fontId="4"/>
  </si>
  <si>
    <t>施工中</t>
    <rPh sb="0" eb="2">
      <t>セコウ</t>
    </rPh>
    <rPh sb="2" eb="3">
      <t>チュウ</t>
    </rPh>
    <phoneticPr fontId="4"/>
  </si>
  <si>
    <t>確認中</t>
    <rPh sb="0" eb="2">
      <t>カクニン</t>
    </rPh>
    <rPh sb="2" eb="3">
      <t>チュウ</t>
    </rPh>
    <phoneticPr fontId="4"/>
  </si>
  <si>
    <t>完了</t>
    <rPh sb="0" eb="2">
      <t>カンリョウ</t>
    </rPh>
    <phoneticPr fontId="4"/>
  </si>
  <si>
    <t>ペンディング</t>
    <phoneticPr fontId="4"/>
  </si>
  <si>
    <t>キャンセル</t>
    <phoneticPr fontId="4"/>
  </si>
  <si>
    <t>現地対応</t>
    <rPh sb="0" eb="4">
      <t>ゲンチタイオウ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</si>
</sst>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20"/>
      <color theme="1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b/>
      <sz val="20"/>
      <color theme="1"/>
      <name val="Yu Gothic"/>
    </font>
    <font>
      <sz val="11"/>
      <color theme="1"/>
      <name val="Yu Gothic"/>
    </font>
    <font>
      <b/>
      <sz val="12"/>
      <color theme="1"/>
      <name val="Yu Gothic"/>
    </font>
    <font>
      <sz val="12"/>
      <color theme="1"/>
      <name val="Yu Gothic"/>
    </font>
    <font>
      <sz val="11"/>
      <color rgb="FF000000"/>
      <name val="Yu Gothic"/>
    </font>
    <font>
      <sz val="9"/>
      <color theme="1"/>
      <name val="Yu Gothic"/>
    </font>
    <font>
      <b/>
      <sz val="8"/>
      <color theme="1"/>
      <name val="Yu Gothic"/>
    </font>
    <font>
      <b/>
      <sz val="10"/>
      <color theme="1"/>
      <name val="Yu Gothic"/>
    </font>
    <font>
      <b/>
      <sz val="11"/>
      <color theme="1"/>
      <name val="Yu Gothic"/>
    </font>
    <font>
      <b/>
      <sz val="24"/>
      <color theme="1"/>
      <name val="Yu Gothic"/>
    </font>
    <font>
      <sz val="10"/>
      <color rgb="FF000000"/>
      <name val="Yu Gothic"/>
    </font>
    <font>
      <sz val="10"/>
      <color theme="1"/>
      <name val="Yu Gothic"/>
    </font>
    <font>
      <sz val="10"/>
      <color theme="1"/>
      <name val="MS PGothic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0" borderId="0" xfId="1" applyFont="1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3" fillId="0" borderId="0" xfId="1" applyFont="1" applyAlignment="1">
      <alignment horizontal="center"/>
    </xf>
    <xf numFmtId="0" fontId="6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5" xfId="0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9" fillId="0" borderId="5" xfId="0" applyFont="1" applyBorder="1">
      <alignment vertical="center"/>
    </xf>
    <xf numFmtId="176" fontId="9" fillId="0" borderId="8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9" fillId="0" borderId="11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176" fontId="9" fillId="0" borderId="9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176" fontId="9" fillId="0" borderId="26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176" fontId="9" fillId="0" borderId="34" xfId="0" applyNumberFormat="1" applyFont="1" applyBorder="1" applyAlignment="1">
      <alignment horizontal="center" vertical="center"/>
    </xf>
    <xf numFmtId="176" fontId="9" fillId="0" borderId="27" xfId="0" applyNumberFormat="1" applyFont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176" fontId="9" fillId="0" borderId="38" xfId="0" applyNumberFormat="1" applyFont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0" fontId="9" fillId="0" borderId="21" xfId="0" applyFont="1" applyBorder="1">
      <alignment vertical="center"/>
    </xf>
    <xf numFmtId="0" fontId="9" fillId="0" borderId="13" xfId="0" applyFont="1" applyBorder="1">
      <alignment vertical="center"/>
    </xf>
    <xf numFmtId="0" fontId="9" fillId="0" borderId="15" xfId="0" applyFont="1" applyBorder="1">
      <alignment vertical="center"/>
    </xf>
    <xf numFmtId="0" fontId="17" fillId="0" borderId="0" xfId="0" applyFont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9" fillId="0" borderId="33" xfId="0" applyFont="1" applyBorder="1">
      <alignment vertical="center"/>
    </xf>
    <xf numFmtId="0" fontId="9" fillId="0" borderId="12" xfId="0" applyFont="1" applyBorder="1">
      <alignment vertical="center"/>
    </xf>
    <xf numFmtId="0" fontId="9" fillId="0" borderId="39" xfId="0" applyFont="1" applyBorder="1">
      <alignment vertical="center"/>
    </xf>
    <xf numFmtId="176" fontId="9" fillId="0" borderId="39" xfId="0" applyNumberFormat="1" applyFont="1" applyBorder="1" applyAlignment="1">
      <alignment horizontal="center" vertical="center"/>
    </xf>
    <xf numFmtId="0" fontId="9" fillId="0" borderId="40" xfId="0" applyFont="1" applyBorder="1">
      <alignment vertical="center"/>
    </xf>
    <xf numFmtId="0" fontId="10" fillId="6" borderId="37" xfId="0" applyFont="1" applyFill="1" applyBorder="1" applyAlignment="1">
      <alignment horizontal="center" vertical="center"/>
    </xf>
    <xf numFmtId="0" fontId="9" fillId="0" borderId="27" xfId="0" applyFont="1" applyBorder="1">
      <alignment vertical="center"/>
    </xf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176" fontId="18" fillId="0" borderId="5" xfId="0" applyNumberFormat="1" applyFont="1" applyBorder="1" applyAlignment="1">
      <alignment horizontal="center" vertical="center"/>
    </xf>
    <xf numFmtId="0" fontId="19" fillId="0" borderId="5" xfId="0" applyFont="1" applyBorder="1">
      <alignment vertical="center"/>
    </xf>
    <xf numFmtId="0" fontId="19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5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shrinkToFit="1"/>
    </xf>
    <xf numFmtId="0" fontId="19" fillId="0" borderId="5" xfId="0" applyFont="1" applyBorder="1" applyAlignment="1">
      <alignment horizontal="center" vertical="center" shrinkToFit="1"/>
    </xf>
    <xf numFmtId="0" fontId="7" fillId="6" borderId="37" xfId="0" applyFont="1" applyFill="1" applyBorder="1" applyAlignment="1">
      <alignment horizontal="center" vertical="center"/>
    </xf>
    <xf numFmtId="176" fontId="0" fillId="0" borderId="26" xfId="0" applyNumberForma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6" fontId="9" fillId="0" borderId="17" xfId="0" applyNumberFormat="1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 wrapText="1"/>
    </xf>
    <xf numFmtId="176" fontId="9" fillId="0" borderId="18" xfId="0" applyNumberFormat="1" applyFont="1" applyBorder="1" applyAlignment="1">
      <alignment horizontal="center" vertical="center"/>
    </xf>
    <xf numFmtId="11" fontId="19" fillId="0" borderId="5" xfId="0" applyNumberFormat="1" applyFont="1" applyBorder="1" applyAlignment="1">
      <alignment horizontal="center" vertical="center"/>
    </xf>
    <xf numFmtId="176" fontId="0" fillId="0" borderId="44" xfId="0" applyNumberFormat="1" applyBorder="1" applyAlignment="1">
      <alignment horizontal="center" vertical="center"/>
    </xf>
    <xf numFmtId="14" fontId="20" fillId="0" borderId="3" xfId="0" applyNumberFormat="1" applyFont="1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45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176" fontId="9" fillId="0" borderId="15" xfId="0" applyNumberFormat="1" applyFont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76" fontId="0" fillId="0" borderId="47" xfId="0" applyNumberForma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176" fontId="9" fillId="0" borderId="13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7" fillId="6" borderId="28" xfId="0" applyFont="1" applyFill="1" applyBorder="1" applyAlignment="1">
      <alignment horizontal="center" vertical="center"/>
    </xf>
    <xf numFmtId="0" fontId="7" fillId="6" borderId="42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176" fontId="9" fillId="0" borderId="20" xfId="0" applyNumberFormat="1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176" fontId="9" fillId="0" borderId="47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9" fillId="0" borderId="44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34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17" xfId="0" applyNumberFormat="1" applyFont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0" fillId="6" borderId="32" xfId="0" applyFont="1" applyFill="1" applyBorder="1" applyAlignment="1">
      <alignment horizontal="center" vertical="center"/>
    </xf>
    <xf numFmtId="0" fontId="10" fillId="6" borderId="36" xfId="0" applyFont="1" applyFill="1" applyBorder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shrinkToFit="1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</cellXfs>
  <cellStyles count="2">
    <cellStyle name="標準" xfId="0" builtinId="0"/>
    <cellStyle name="標準 2" xfId="1" xr:uid="{E675A06E-557C-4B2F-AEB4-7DF8075E3119}"/>
  </cellStyles>
  <dxfs count="44">
    <dxf>
      <fill>
        <patternFill>
          <bgColor rgb="FFFFFF66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>
          <bgColor theme="0"/>
        </patternFill>
      </fill>
    </dxf>
    <dxf>
      <fill>
        <patternFill>
          <bgColor rgb="FFFFFF66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>
          <bgColor theme="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DFFCF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DFFCF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DFFCF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DFFCF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DFFCF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DFFCF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0" tint="-0.249977111117893"/>
        </patternFill>
      </fill>
    </dxf>
  </dxfs>
  <tableStyles count="0" defaultTableStyle="TableStyleMedium2" defaultPivotStyle="PivotStyleLight16"/>
  <colors>
    <mruColors>
      <color rgb="FFFDF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7E0D-239E-4C93-A32E-B67588553BAC}">
  <dimension ref="B1:V21"/>
  <sheetViews>
    <sheetView workbookViewId="0">
      <pane xSplit="4" ySplit="4" topLeftCell="E13" activePane="bottomRight" state="frozen"/>
      <selection pane="bottomRight" activeCell="O26" sqref="O26"/>
      <selection pane="bottomLeft"/>
      <selection pane="topRight"/>
    </sheetView>
  </sheetViews>
  <sheetFormatPr defaultRowHeight="15.75"/>
  <cols>
    <col min="1" max="1" width="1.625" style="14" customWidth="1"/>
    <col min="2" max="2" width="8.5" style="14" customWidth="1"/>
    <col min="3" max="3" width="39.125" style="14" customWidth="1"/>
    <col min="4" max="4" width="8.875" style="14" customWidth="1"/>
    <col min="5" max="5" width="9.25" style="14" customWidth="1"/>
    <col min="6" max="6" width="9.5" style="14" customWidth="1"/>
    <col min="7" max="7" width="8.625" style="14" bestFit="1" customWidth="1"/>
    <col min="8" max="8" width="7.125" style="14" bestFit="1" customWidth="1"/>
    <col min="9" max="11" width="5.375" style="14" bestFit="1" customWidth="1"/>
    <col min="12" max="12" width="5.875" style="14" bestFit="1" customWidth="1"/>
    <col min="13" max="13" width="8.625" style="14" customWidth="1"/>
    <col min="14" max="14" width="9" style="14" customWidth="1"/>
    <col min="15" max="15" width="6.75" style="14" customWidth="1"/>
    <col min="16" max="16" width="9.25" style="14" customWidth="1"/>
    <col min="17" max="17" width="9.125" style="14" customWidth="1"/>
    <col min="18" max="18" width="8.75" style="14" customWidth="1"/>
    <col min="19" max="19" width="13.75" style="14" customWidth="1"/>
    <col min="20" max="20" width="9" style="14" customWidth="1"/>
    <col min="21" max="21" width="8.875" style="14" customWidth="1"/>
    <col min="22" max="22" width="34.25" style="14" bestFit="1" customWidth="1"/>
    <col min="23" max="16384" width="9" style="14"/>
  </cols>
  <sheetData>
    <row r="1" spans="2:22" ht="37.5" customHeight="1">
      <c r="B1" s="197" t="s">
        <v>0</v>
      </c>
      <c r="C1" s="197"/>
    </row>
    <row r="2" spans="2:22" ht="9.75" customHeight="1"/>
    <row r="3" spans="2:22" ht="24" customHeight="1">
      <c r="B3" s="198" t="s">
        <v>1</v>
      </c>
      <c r="C3" s="195" t="s">
        <v>2</v>
      </c>
      <c r="D3" s="195" t="s">
        <v>3</v>
      </c>
      <c r="E3" s="188" t="s">
        <v>4</v>
      </c>
      <c r="F3" s="190" t="s">
        <v>5</v>
      </c>
      <c r="G3" s="192" t="s">
        <v>6</v>
      </c>
      <c r="H3" s="192" t="s">
        <v>7</v>
      </c>
      <c r="I3" s="194" t="s">
        <v>3</v>
      </c>
      <c r="J3" s="194"/>
      <c r="K3" s="194" t="s">
        <v>8</v>
      </c>
      <c r="L3" s="194"/>
      <c r="M3" s="195" t="s">
        <v>9</v>
      </c>
      <c r="N3" s="195" t="s">
        <v>10</v>
      </c>
      <c r="O3" s="195" t="s">
        <v>11</v>
      </c>
      <c r="P3" s="195" t="s">
        <v>12</v>
      </c>
      <c r="Q3" s="195" t="s">
        <v>13</v>
      </c>
      <c r="R3" s="195" t="s">
        <v>14</v>
      </c>
      <c r="S3" s="195" t="s">
        <v>15</v>
      </c>
      <c r="T3" s="195" t="s">
        <v>16</v>
      </c>
      <c r="U3" s="186" t="s">
        <v>17</v>
      </c>
      <c r="V3" s="184" t="s">
        <v>18</v>
      </c>
    </row>
    <row r="4" spans="2:22" ht="42" customHeight="1">
      <c r="B4" s="199"/>
      <c r="C4" s="196"/>
      <c r="D4" s="196"/>
      <c r="E4" s="189"/>
      <c r="F4" s="191"/>
      <c r="G4" s="193"/>
      <c r="H4" s="193"/>
      <c r="I4" s="73" t="s">
        <v>19</v>
      </c>
      <c r="J4" s="73" t="s">
        <v>20</v>
      </c>
      <c r="K4" s="73" t="s">
        <v>19</v>
      </c>
      <c r="L4" s="72" t="s">
        <v>20</v>
      </c>
      <c r="M4" s="196"/>
      <c r="N4" s="196"/>
      <c r="O4" s="196"/>
      <c r="P4" s="196"/>
      <c r="Q4" s="196"/>
      <c r="R4" s="196"/>
      <c r="S4" s="196"/>
      <c r="T4" s="196"/>
      <c r="U4" s="187"/>
      <c r="V4" s="185"/>
    </row>
    <row r="5" spans="2:22" ht="25.5" customHeight="1">
      <c r="B5" s="168">
        <v>2810</v>
      </c>
      <c r="C5" s="171" t="s">
        <v>21</v>
      </c>
      <c r="D5" s="33" t="s">
        <v>22</v>
      </c>
      <c r="E5" s="173" t="s">
        <v>23</v>
      </c>
      <c r="F5" s="48" t="s">
        <v>23</v>
      </c>
      <c r="G5" s="48" t="s">
        <v>23</v>
      </c>
      <c r="H5" s="48" t="s">
        <v>23</v>
      </c>
      <c r="I5" s="71" t="s">
        <v>23</v>
      </c>
      <c r="J5" s="71" t="s">
        <v>24</v>
      </c>
      <c r="K5" s="71" t="s">
        <v>23</v>
      </c>
      <c r="L5" s="71" t="s">
        <v>24</v>
      </c>
      <c r="M5" s="28"/>
      <c r="N5" s="28"/>
      <c r="O5" s="28"/>
      <c r="P5" s="57">
        <v>46269</v>
      </c>
      <c r="Q5" s="28"/>
      <c r="R5" s="28">
        <v>46279</v>
      </c>
      <c r="S5" s="28">
        <v>46279</v>
      </c>
      <c r="T5" s="28"/>
      <c r="U5" s="28">
        <v>46297</v>
      </c>
      <c r="V5" s="164" t="s">
        <v>25</v>
      </c>
    </row>
    <row r="6" spans="2:22" ht="25.5" customHeight="1">
      <c r="B6" s="168"/>
      <c r="C6" s="176"/>
      <c r="D6" s="15" t="s">
        <v>26</v>
      </c>
      <c r="E6" s="174"/>
      <c r="F6" s="15" t="s">
        <v>23</v>
      </c>
      <c r="G6" s="15" t="s">
        <v>23</v>
      </c>
      <c r="H6" s="15" t="s">
        <v>23</v>
      </c>
      <c r="I6" s="15" t="s">
        <v>23</v>
      </c>
      <c r="J6" s="15" t="s">
        <v>23</v>
      </c>
      <c r="K6" s="15" t="s">
        <v>23</v>
      </c>
      <c r="L6" s="15" t="s">
        <v>23</v>
      </c>
      <c r="M6" s="16" t="s">
        <v>23</v>
      </c>
      <c r="N6" s="16" t="s">
        <v>23</v>
      </c>
      <c r="O6" s="16" t="s">
        <v>23</v>
      </c>
      <c r="P6" s="16" t="s">
        <v>23</v>
      </c>
      <c r="Q6" s="16" t="s">
        <v>24</v>
      </c>
      <c r="R6" s="16">
        <v>46230</v>
      </c>
      <c r="S6" s="16">
        <v>46230</v>
      </c>
      <c r="T6" s="16"/>
      <c r="U6" s="42">
        <v>46241</v>
      </c>
      <c r="V6" s="165"/>
    </row>
    <row r="7" spans="2:22" ht="25.5" customHeight="1">
      <c r="B7" s="168"/>
      <c r="C7" s="171"/>
      <c r="D7" s="66" t="s">
        <v>27</v>
      </c>
      <c r="E7" s="173"/>
      <c r="F7" s="15" t="s">
        <v>23</v>
      </c>
      <c r="G7" s="62" t="s">
        <v>24</v>
      </c>
      <c r="H7" s="62" t="s">
        <v>24</v>
      </c>
      <c r="I7" s="41" t="s">
        <v>24</v>
      </c>
      <c r="J7" s="41" t="s">
        <v>24</v>
      </c>
      <c r="K7" s="41" t="s">
        <v>24</v>
      </c>
      <c r="L7" s="41" t="s">
        <v>24</v>
      </c>
      <c r="M7" s="24" t="s">
        <v>24</v>
      </c>
      <c r="N7" s="24"/>
      <c r="O7" s="28" t="s">
        <v>28</v>
      </c>
      <c r="P7" s="28">
        <v>46297</v>
      </c>
      <c r="Q7" s="24"/>
      <c r="R7" s="16">
        <v>46304</v>
      </c>
      <c r="S7" s="16">
        <v>46304</v>
      </c>
      <c r="T7" s="16"/>
      <c r="U7" s="42">
        <v>46311</v>
      </c>
      <c r="V7" s="165"/>
    </row>
    <row r="8" spans="2:22" ht="25.5" customHeight="1">
      <c r="B8" s="168"/>
      <c r="C8" s="171"/>
      <c r="D8" s="15" t="s">
        <v>29</v>
      </c>
      <c r="E8" s="173"/>
      <c r="F8" s="15" t="s">
        <v>23</v>
      </c>
      <c r="G8" s="63" t="s">
        <v>24</v>
      </c>
      <c r="H8" s="63" t="s">
        <v>24</v>
      </c>
      <c r="I8" s="42" t="s">
        <v>24</v>
      </c>
      <c r="J8" s="42" t="s">
        <v>24</v>
      </c>
      <c r="K8" s="42" t="s">
        <v>24</v>
      </c>
      <c r="L8" s="42" t="s">
        <v>24</v>
      </c>
      <c r="M8" s="16" t="s">
        <v>24</v>
      </c>
      <c r="N8" s="16"/>
      <c r="O8" s="18" t="s">
        <v>28</v>
      </c>
      <c r="P8" s="18">
        <v>46276</v>
      </c>
      <c r="Q8" s="16"/>
      <c r="R8" s="16">
        <v>46290</v>
      </c>
      <c r="S8" s="16">
        <v>46290</v>
      </c>
      <c r="T8" s="16"/>
      <c r="U8" s="42">
        <v>46297</v>
      </c>
      <c r="V8" s="165"/>
    </row>
    <row r="9" spans="2:22" ht="25.5" customHeight="1">
      <c r="B9" s="168"/>
      <c r="C9" s="171"/>
      <c r="D9" s="15" t="s">
        <v>30</v>
      </c>
      <c r="E9" s="173"/>
      <c r="F9" s="15" t="s">
        <v>23</v>
      </c>
      <c r="G9" s="63" t="s">
        <v>24</v>
      </c>
      <c r="H9" s="63" t="s">
        <v>24</v>
      </c>
      <c r="I9" s="42" t="s">
        <v>24</v>
      </c>
      <c r="J9" s="42" t="s">
        <v>24</v>
      </c>
      <c r="K9" s="42" t="s">
        <v>24</v>
      </c>
      <c r="L9" s="42" t="s">
        <v>24</v>
      </c>
      <c r="M9" s="16"/>
      <c r="N9" s="16"/>
      <c r="O9" s="18"/>
      <c r="P9" s="18">
        <v>46346</v>
      </c>
      <c r="Q9" s="16"/>
      <c r="R9" s="16">
        <v>46360</v>
      </c>
      <c r="S9" s="16">
        <v>46360</v>
      </c>
      <c r="T9" s="16"/>
      <c r="U9" s="42">
        <v>46367</v>
      </c>
      <c r="V9" s="165"/>
    </row>
    <row r="10" spans="2:22" ht="25.5" customHeight="1">
      <c r="B10" s="168"/>
      <c r="C10" s="171"/>
      <c r="D10" s="15" t="s">
        <v>31</v>
      </c>
      <c r="E10" s="173"/>
      <c r="F10" s="15" t="s">
        <v>23</v>
      </c>
      <c r="G10" s="63" t="s">
        <v>24</v>
      </c>
      <c r="H10" s="63" t="s">
        <v>24</v>
      </c>
      <c r="I10" s="42" t="s">
        <v>24</v>
      </c>
      <c r="J10" s="42" t="s">
        <v>24</v>
      </c>
      <c r="K10" s="42" t="s">
        <v>24</v>
      </c>
      <c r="L10" s="42" t="s">
        <v>24</v>
      </c>
      <c r="M10" s="16"/>
      <c r="N10" s="16"/>
      <c r="O10" s="18" t="s">
        <v>28</v>
      </c>
      <c r="P10" s="18">
        <v>46297</v>
      </c>
      <c r="Q10" s="16"/>
      <c r="R10" s="16">
        <v>46304</v>
      </c>
      <c r="S10" s="16">
        <v>46304</v>
      </c>
      <c r="T10" s="16"/>
      <c r="U10" s="42">
        <v>46311</v>
      </c>
      <c r="V10" s="165"/>
    </row>
    <row r="11" spans="2:22" ht="25.5" customHeight="1">
      <c r="B11" s="168"/>
      <c r="C11" s="171"/>
      <c r="D11" s="15" t="s">
        <v>32</v>
      </c>
      <c r="E11" s="173"/>
      <c r="F11" s="15" t="s">
        <v>23</v>
      </c>
      <c r="G11" s="63" t="s">
        <v>24</v>
      </c>
      <c r="H11" s="63" t="s">
        <v>24</v>
      </c>
      <c r="I11" s="42" t="s">
        <v>24</v>
      </c>
      <c r="J11" s="42" t="s">
        <v>24</v>
      </c>
      <c r="K11" s="42" t="s">
        <v>24</v>
      </c>
      <c r="L11" s="42" t="s">
        <v>24</v>
      </c>
      <c r="M11" s="16"/>
      <c r="N11" s="16"/>
      <c r="O11" s="18" t="s">
        <v>28</v>
      </c>
      <c r="P11" s="18">
        <v>46297</v>
      </c>
      <c r="Q11" s="16"/>
      <c r="R11" s="16">
        <v>46304</v>
      </c>
      <c r="S11" s="16">
        <v>46304</v>
      </c>
      <c r="T11" s="16"/>
      <c r="U11" s="42">
        <v>46311</v>
      </c>
      <c r="V11" s="165"/>
    </row>
    <row r="12" spans="2:22" ht="25.5" customHeight="1">
      <c r="B12" s="169"/>
      <c r="C12" s="172"/>
      <c r="D12" s="68" t="s">
        <v>33</v>
      </c>
      <c r="E12" s="175"/>
      <c r="F12" s="69" t="s">
        <v>23</v>
      </c>
      <c r="G12" s="69" t="s">
        <v>23</v>
      </c>
      <c r="H12" s="69" t="s">
        <v>23</v>
      </c>
      <c r="I12" s="69" t="s">
        <v>23</v>
      </c>
      <c r="J12" s="69" t="s">
        <v>23</v>
      </c>
      <c r="K12" s="69" t="s">
        <v>23</v>
      </c>
      <c r="L12" s="69" t="s">
        <v>23</v>
      </c>
      <c r="M12" s="70" t="s">
        <v>23</v>
      </c>
      <c r="N12" s="70" t="s">
        <v>23</v>
      </c>
      <c r="O12" s="70" t="s">
        <v>23</v>
      </c>
      <c r="P12" s="70" t="s">
        <v>23</v>
      </c>
      <c r="Q12" s="70" t="s">
        <v>24</v>
      </c>
      <c r="R12" s="114">
        <v>46230</v>
      </c>
      <c r="S12" s="114">
        <v>46230</v>
      </c>
      <c r="T12" s="114"/>
      <c r="U12" s="114">
        <v>46241</v>
      </c>
      <c r="V12" s="166"/>
    </row>
    <row r="13" spans="2:22" ht="27.75" customHeight="1">
      <c r="B13" s="32">
        <v>2812</v>
      </c>
      <c r="C13" s="27" t="s">
        <v>34</v>
      </c>
      <c r="D13" s="33" t="s">
        <v>35</v>
      </c>
      <c r="E13" s="48" t="s">
        <v>23</v>
      </c>
      <c r="F13" s="52" t="s">
        <v>23</v>
      </c>
      <c r="G13" s="48" t="s">
        <v>23</v>
      </c>
      <c r="H13" s="48" t="s">
        <v>23</v>
      </c>
      <c r="I13" s="71" t="s">
        <v>23</v>
      </c>
      <c r="J13" s="71" t="s">
        <v>23</v>
      </c>
      <c r="K13" s="71" t="s">
        <v>23</v>
      </c>
      <c r="L13" s="28" t="s">
        <v>23</v>
      </c>
      <c r="M13" s="28" t="s">
        <v>28</v>
      </c>
      <c r="N13" s="28" t="s">
        <v>28</v>
      </c>
      <c r="O13" s="28" t="s">
        <v>28</v>
      </c>
      <c r="P13" s="28" t="s">
        <v>28</v>
      </c>
      <c r="Q13" s="28" t="s">
        <v>28</v>
      </c>
      <c r="R13" s="28" t="s">
        <v>28</v>
      </c>
      <c r="S13" s="28" t="s">
        <v>36</v>
      </c>
      <c r="T13" s="28"/>
      <c r="U13" s="74" t="s">
        <v>37</v>
      </c>
      <c r="V13" s="78" t="s">
        <v>38</v>
      </c>
    </row>
    <row r="14" spans="2:22" ht="27.75" customHeight="1">
      <c r="B14" s="29">
        <v>2814</v>
      </c>
      <c r="C14" s="37" t="s">
        <v>39</v>
      </c>
      <c r="D14" s="36" t="s">
        <v>35</v>
      </c>
      <c r="E14" s="49" t="s">
        <v>23</v>
      </c>
      <c r="F14" s="47" t="s">
        <v>23</v>
      </c>
      <c r="G14" s="49" t="s">
        <v>23</v>
      </c>
      <c r="H14" s="49" t="s">
        <v>23</v>
      </c>
      <c r="I14" s="43" t="s">
        <v>23</v>
      </c>
      <c r="J14" s="43" t="s">
        <v>23</v>
      </c>
      <c r="K14" s="43" t="s">
        <v>23</v>
      </c>
      <c r="L14" s="31" t="s">
        <v>23</v>
      </c>
      <c r="M14" s="31" t="s">
        <v>23</v>
      </c>
      <c r="N14" s="31" t="s">
        <v>23</v>
      </c>
      <c r="O14" s="31" t="s">
        <v>23</v>
      </c>
      <c r="P14" s="31" t="s">
        <v>23</v>
      </c>
      <c r="Q14" s="31" t="s">
        <v>24</v>
      </c>
      <c r="R14" s="31">
        <v>46219</v>
      </c>
      <c r="S14" s="31">
        <v>46220</v>
      </c>
      <c r="T14" s="31"/>
      <c r="U14" s="75">
        <v>46234</v>
      </c>
      <c r="V14" s="77"/>
    </row>
    <row r="15" spans="2:22" ht="27.75" hidden="1" customHeight="1">
      <c r="B15" s="29">
        <v>2815</v>
      </c>
      <c r="C15" s="37" t="s">
        <v>40</v>
      </c>
      <c r="D15" s="36" t="s">
        <v>27</v>
      </c>
      <c r="E15" s="49" t="s">
        <v>23</v>
      </c>
      <c r="F15" s="47" t="s">
        <v>23</v>
      </c>
      <c r="G15" s="49" t="s">
        <v>23</v>
      </c>
      <c r="H15" s="49" t="s">
        <v>23</v>
      </c>
      <c r="I15" s="43" t="s">
        <v>23</v>
      </c>
      <c r="J15" s="43" t="s">
        <v>23</v>
      </c>
      <c r="K15" s="43" t="s">
        <v>23</v>
      </c>
      <c r="L15" s="31" t="s">
        <v>23</v>
      </c>
      <c r="M15" s="31" t="s">
        <v>23</v>
      </c>
      <c r="N15" s="31" t="s">
        <v>23</v>
      </c>
      <c r="O15" s="31" t="s">
        <v>23</v>
      </c>
      <c r="P15" s="31" t="s">
        <v>23</v>
      </c>
      <c r="Q15" s="31" t="s">
        <v>23</v>
      </c>
      <c r="R15" s="31" t="s">
        <v>23</v>
      </c>
      <c r="S15" s="31" t="s">
        <v>23</v>
      </c>
      <c r="T15" s="31" t="s">
        <v>23</v>
      </c>
      <c r="U15" s="31" t="s">
        <v>23</v>
      </c>
      <c r="V15" s="77"/>
    </row>
    <row r="16" spans="2:22" ht="25.5" customHeight="1">
      <c r="B16" s="167">
        <v>2816</v>
      </c>
      <c r="C16" s="170" t="s">
        <v>40</v>
      </c>
      <c r="D16" s="30" t="s">
        <v>35</v>
      </c>
      <c r="E16" s="177" t="s">
        <v>23</v>
      </c>
      <c r="F16" s="64" t="s">
        <v>23</v>
      </c>
      <c r="G16" s="64" t="s">
        <v>24</v>
      </c>
      <c r="H16" s="64" t="s">
        <v>24</v>
      </c>
      <c r="I16" s="64" t="s">
        <v>24</v>
      </c>
      <c r="J16" s="64" t="s">
        <v>24</v>
      </c>
      <c r="K16" s="64" t="s">
        <v>24</v>
      </c>
      <c r="L16" s="64" t="s">
        <v>24</v>
      </c>
      <c r="M16" s="40">
        <v>46300</v>
      </c>
      <c r="N16" s="83"/>
      <c r="O16" s="83"/>
      <c r="P16" s="40">
        <v>46444</v>
      </c>
      <c r="Q16" s="83"/>
      <c r="R16" s="179">
        <v>46476</v>
      </c>
      <c r="S16" s="179">
        <v>46477</v>
      </c>
      <c r="T16" s="83"/>
      <c r="U16" s="179">
        <v>46500</v>
      </c>
      <c r="V16" s="82"/>
    </row>
    <row r="17" spans="2:22" ht="27.75" customHeight="1">
      <c r="B17" s="168"/>
      <c r="C17" s="171"/>
      <c r="D17" s="33" t="s">
        <v>41</v>
      </c>
      <c r="E17" s="173"/>
      <c r="F17" s="48" t="s">
        <v>23</v>
      </c>
      <c r="G17" s="48" t="s">
        <v>24</v>
      </c>
      <c r="H17" s="48" t="s">
        <v>24</v>
      </c>
      <c r="I17" s="48" t="s">
        <v>24</v>
      </c>
      <c r="J17" s="48" t="s">
        <v>24</v>
      </c>
      <c r="K17" s="48" t="s">
        <v>24</v>
      </c>
      <c r="L17" s="48" t="s">
        <v>24</v>
      </c>
      <c r="M17" s="71">
        <v>46371</v>
      </c>
      <c r="N17" s="88"/>
      <c r="O17" s="88"/>
      <c r="P17" s="182">
        <v>46451</v>
      </c>
      <c r="Q17" s="88"/>
      <c r="R17" s="180"/>
      <c r="S17" s="180"/>
      <c r="T17" s="88"/>
      <c r="U17" s="180"/>
      <c r="V17" s="78"/>
    </row>
    <row r="18" spans="2:22" ht="25.5" customHeight="1">
      <c r="B18" s="169"/>
      <c r="C18" s="172"/>
      <c r="D18" s="17" t="s">
        <v>42</v>
      </c>
      <c r="E18" s="178"/>
      <c r="F18" s="69" t="s">
        <v>23</v>
      </c>
      <c r="G18" s="69" t="s">
        <v>24</v>
      </c>
      <c r="H18" s="69" t="s">
        <v>24</v>
      </c>
      <c r="I18" s="69" t="s">
        <v>24</v>
      </c>
      <c r="J18" s="69" t="s">
        <v>24</v>
      </c>
      <c r="K18" s="69" t="s">
        <v>24</v>
      </c>
      <c r="L18" s="69" t="s">
        <v>24</v>
      </c>
      <c r="M18" s="85">
        <v>46341</v>
      </c>
      <c r="N18" s="84"/>
      <c r="O18" s="84"/>
      <c r="P18" s="183"/>
      <c r="Q18" s="84"/>
      <c r="R18" s="181"/>
      <c r="S18" s="181"/>
      <c r="T18" s="84"/>
      <c r="U18" s="181"/>
      <c r="V18" s="86"/>
    </row>
    <row r="19" spans="2:22" ht="27" customHeight="1">
      <c r="B19" s="29">
        <v>2818</v>
      </c>
      <c r="C19" s="37" t="s">
        <v>43</v>
      </c>
      <c r="D19" s="36" t="s">
        <v>26</v>
      </c>
      <c r="E19" s="49" t="s">
        <v>23</v>
      </c>
      <c r="F19" s="49" t="s">
        <v>23</v>
      </c>
      <c r="G19" s="36" t="s">
        <v>23</v>
      </c>
      <c r="H19" s="36" t="s">
        <v>23</v>
      </c>
      <c r="I19" s="36" t="s">
        <v>24</v>
      </c>
      <c r="J19" s="36" t="s">
        <v>24</v>
      </c>
      <c r="K19" s="43" t="s">
        <v>24</v>
      </c>
      <c r="L19" s="43" t="s">
        <v>24</v>
      </c>
      <c r="M19" s="43">
        <v>46328</v>
      </c>
      <c r="N19" s="43"/>
      <c r="O19" s="43"/>
      <c r="P19" s="43">
        <v>46423</v>
      </c>
      <c r="Q19" s="43"/>
      <c r="R19" s="43">
        <v>46472</v>
      </c>
      <c r="S19" s="43">
        <v>46472</v>
      </c>
      <c r="T19" s="43"/>
      <c r="U19" s="75">
        <v>46486</v>
      </c>
      <c r="V19" s="77"/>
    </row>
    <row r="20" spans="2:22" ht="28.5" customHeight="1">
      <c r="B20" s="29">
        <v>2819</v>
      </c>
      <c r="C20" s="37" t="s">
        <v>44</v>
      </c>
      <c r="D20" s="132" t="s">
        <v>26</v>
      </c>
      <c r="E20" s="49" t="s">
        <v>23</v>
      </c>
      <c r="F20" s="49" t="s">
        <v>23</v>
      </c>
      <c r="G20" s="36" t="s">
        <v>23</v>
      </c>
      <c r="H20" s="36" t="s">
        <v>24</v>
      </c>
      <c r="I20" s="36" t="s">
        <v>24</v>
      </c>
      <c r="J20" s="36" t="s">
        <v>24</v>
      </c>
      <c r="K20" s="43" t="s">
        <v>24</v>
      </c>
      <c r="L20" s="43" t="s">
        <v>24</v>
      </c>
      <c r="M20" s="43">
        <v>46272</v>
      </c>
      <c r="N20" s="43"/>
      <c r="O20" s="43"/>
      <c r="P20" s="43">
        <v>46381</v>
      </c>
      <c r="Q20" s="43"/>
      <c r="R20" s="43">
        <v>46415</v>
      </c>
      <c r="S20" s="43">
        <v>46416</v>
      </c>
      <c r="T20" s="43"/>
      <c r="U20" s="75">
        <v>46430</v>
      </c>
      <c r="V20" s="77"/>
    </row>
    <row r="21" spans="2:22" ht="30" customHeight="1">
      <c r="B21" s="34">
        <v>2820</v>
      </c>
      <c r="C21" s="38" t="s">
        <v>45</v>
      </c>
      <c r="D21" s="131" t="s">
        <v>35</v>
      </c>
      <c r="E21" s="47" t="s">
        <v>23</v>
      </c>
      <c r="F21" s="47" t="s">
        <v>23</v>
      </c>
      <c r="G21" s="35" t="s">
        <v>24</v>
      </c>
      <c r="H21" s="35" t="s">
        <v>24</v>
      </c>
      <c r="I21" s="35" t="s">
        <v>24</v>
      </c>
      <c r="J21" s="35" t="s">
        <v>24</v>
      </c>
      <c r="K21" s="80" t="s">
        <v>24</v>
      </c>
      <c r="L21" s="80" t="s">
        <v>24</v>
      </c>
      <c r="M21" s="80">
        <v>46265</v>
      </c>
      <c r="N21" s="80"/>
      <c r="O21" s="80"/>
      <c r="P21" s="80">
        <v>46346</v>
      </c>
      <c r="Q21" s="80"/>
      <c r="R21" s="80">
        <v>46378</v>
      </c>
      <c r="S21" s="80">
        <v>46379</v>
      </c>
      <c r="T21" s="80"/>
      <c r="U21" s="65">
        <v>46395</v>
      </c>
      <c r="V21" s="76"/>
    </row>
  </sheetData>
  <mergeCells count="31">
    <mergeCell ref="D3:D4"/>
    <mergeCell ref="G3:G4"/>
    <mergeCell ref="B1:C1"/>
    <mergeCell ref="C3:C4"/>
    <mergeCell ref="B3:B4"/>
    <mergeCell ref="V3:V4"/>
    <mergeCell ref="U3:U4"/>
    <mergeCell ref="E3:E4"/>
    <mergeCell ref="F3:F4"/>
    <mergeCell ref="H3:H4"/>
    <mergeCell ref="I3:J3"/>
    <mergeCell ref="K3:L3"/>
    <mergeCell ref="R3:R4"/>
    <mergeCell ref="Q3:Q4"/>
    <mergeCell ref="S3:S4"/>
    <mergeCell ref="T3:T4"/>
    <mergeCell ref="M3:M4"/>
    <mergeCell ref="N3:N4"/>
    <mergeCell ref="P3:P4"/>
    <mergeCell ref="O3:O4"/>
    <mergeCell ref="V5:V12"/>
    <mergeCell ref="B16:B18"/>
    <mergeCell ref="C16:C18"/>
    <mergeCell ref="E5:E12"/>
    <mergeCell ref="B5:B12"/>
    <mergeCell ref="C5:C12"/>
    <mergeCell ref="E16:E18"/>
    <mergeCell ref="U16:U18"/>
    <mergeCell ref="S16:S18"/>
    <mergeCell ref="R16:R18"/>
    <mergeCell ref="P17:P18"/>
  </mergeCells>
  <conditionalFormatting sqref="T18 T5:U5 E5:O5 Q5 E19:U21 E13:U17 F18:O18 U6:U12 F6:F18 G6:Q12 Q18">
    <cfRule type="cellIs" dxfId="43" priority="26" operator="equal">
      <formula>"済"</formula>
    </cfRule>
  </conditionalFormatting>
  <conditionalFormatting sqref="T18 T5:U5 E5:O5 Q5 E19:U21 E13:U17 F18:O18 U6:U12 F6:F18 G6:Q12 Q18">
    <cfRule type="timePeriod" dxfId="42" priority="22" timePeriod="thisWeek">
      <formula>AND(TODAY()-ROUNDDOWN(E5,0)&lt;=WEEKDAY(TODAY())-1,ROUNDDOWN(E5,0)-TODAY()&lt;=7-WEEKDAY(TODAY()))</formula>
    </cfRule>
  </conditionalFormatting>
  <conditionalFormatting sqref="T18 T5:U5 E5:O5 Q5 E19:U21 E13:U17 F18:O18 U6:U12 F6:F18 G6:Q12 Q18">
    <cfRule type="timePeriod" dxfId="41" priority="23" timePeriod="nextWeek">
      <formula>AND(ROUNDDOWN(E5,0)-TODAY()&gt;(7-WEEKDAY(TODAY())),ROUNDDOWN(E5,0)-TODAY()&lt;(15-WEEKDAY(TODAY())))</formula>
    </cfRule>
  </conditionalFormatting>
  <conditionalFormatting sqref="T18 T5:U5 E5:O5 Q5 E19:U21 E13:U17 F18:O18 U6:U12 F6:F18 G6:Q12 Q18">
    <cfRule type="timePeriod" dxfId="40" priority="21" timePeriod="today">
      <formula>FLOOR(E5,1)=TODAY()</formula>
    </cfRule>
  </conditionalFormatting>
  <conditionalFormatting sqref="U16:U17">
    <cfRule type="cellIs" dxfId="39" priority="20" operator="equal">
      <formula>"済"</formula>
    </cfRule>
  </conditionalFormatting>
  <conditionalFormatting sqref="U16:U17">
    <cfRule type="timePeriod" dxfId="38" priority="18" timePeriod="thisWeek">
      <formula>AND(TODAY()-ROUNDDOWN(U16,0)&lt;=WEEKDAY(TODAY())-1,ROUNDDOWN(U16,0)-TODAY()&lt;=7-WEEKDAY(TODAY()))</formula>
    </cfRule>
  </conditionalFormatting>
  <conditionalFormatting sqref="U16:U17">
    <cfRule type="timePeriod" dxfId="37" priority="19" timePeriod="nextWeek">
      <formula>AND(ROUNDDOWN(U16,0)-TODAY()&gt;(7-WEEKDAY(TODAY())),ROUNDDOWN(U16,0)-TODAY()&lt;(15-WEEKDAY(TODAY())))</formula>
    </cfRule>
  </conditionalFormatting>
  <conditionalFormatting sqref="U16:U17">
    <cfRule type="timePeriod" dxfId="36" priority="17" timePeriod="today">
      <formula>FLOOR(U16,1)=TODAY()</formula>
    </cfRule>
  </conditionalFormatting>
  <dataValidations count="1">
    <dataValidation allowBlank="1" showInputMessage="1" showErrorMessage="1" sqref="U13:U14 R19:S21 P19:P21 S13:S14 M19:M21 T5 R14 P5 P7:P11" xr:uid="{D38E6859-38C6-41C8-909B-6BCF27D94DE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80483C-C47D-4BD2-BF45-B798CCBCB55D}">
          <x14:formula1>
            <xm:f>Sheet1!$B$4:$B$6</xm:f>
          </x14:formula1>
          <xm:sqref>R13 E5 E13:E17 R15:U15 T13:T14 N19:O21 Q19:Q21 T19:T21 E19:L21 P12:P15 P6 M5:O15 Q5:Q15 F5:L18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2E18-AAC1-4343-8A46-EF8EAA9D20B5}">
  <dimension ref="B1:Q29"/>
  <sheetViews>
    <sheetView tabSelected="1" workbookViewId="0">
      <pane ySplit="3" topLeftCell="A9" activePane="bottomLeft" state="frozen"/>
      <selection pane="bottomLeft" activeCell="C16" sqref="C16"/>
    </sheetView>
  </sheetViews>
  <sheetFormatPr defaultRowHeight="15.75"/>
  <cols>
    <col min="1" max="1" width="2.625" style="14" customWidth="1"/>
    <col min="2" max="2" width="11.125" style="14" customWidth="1"/>
    <col min="3" max="3" width="42.625" style="14" customWidth="1"/>
    <col min="4" max="4" width="8.75" style="14" customWidth="1"/>
    <col min="5" max="5" width="11" style="14" customWidth="1"/>
    <col min="6" max="6" width="8" style="14" customWidth="1"/>
    <col min="7" max="7" width="9.625" style="14" customWidth="1"/>
    <col min="8" max="8" width="9.375" style="14" customWidth="1"/>
    <col min="9" max="10" width="9" style="14" customWidth="1"/>
    <col min="11" max="11" width="7.875" style="14" customWidth="1"/>
    <col min="12" max="12" width="9.125" style="14" customWidth="1"/>
    <col min="13" max="13" width="12.375" style="14" customWidth="1"/>
    <col min="14" max="14" width="9.25" style="14" customWidth="1"/>
    <col min="15" max="15" width="9.375" style="14" customWidth="1"/>
    <col min="16" max="16" width="16.875" style="14" customWidth="1"/>
    <col min="17" max="17" width="22.125" style="14" customWidth="1"/>
    <col min="18" max="16384" width="9" style="14"/>
  </cols>
  <sheetData>
    <row r="1" spans="2:17" ht="38.25" customHeight="1">
      <c r="B1" s="79" t="s">
        <v>46</v>
      </c>
      <c r="C1" s="13"/>
    </row>
    <row r="3" spans="2:17" ht="42.75" customHeight="1">
      <c r="B3" s="44" t="s">
        <v>1</v>
      </c>
      <c r="C3" s="45" t="s">
        <v>2</v>
      </c>
      <c r="D3" s="45" t="s">
        <v>3</v>
      </c>
      <c r="E3" s="53" t="s">
        <v>4</v>
      </c>
      <c r="F3" s="53" t="s">
        <v>19</v>
      </c>
      <c r="G3" s="45" t="s">
        <v>47</v>
      </c>
      <c r="H3" s="45" t="s">
        <v>9</v>
      </c>
      <c r="I3" s="45" t="s">
        <v>10</v>
      </c>
      <c r="J3" s="45" t="s">
        <v>12</v>
      </c>
      <c r="K3" s="45" t="s">
        <v>13</v>
      </c>
      <c r="L3" s="45" t="s">
        <v>14</v>
      </c>
      <c r="M3" s="45" t="s">
        <v>15</v>
      </c>
      <c r="N3" s="45" t="s">
        <v>16</v>
      </c>
      <c r="O3" s="87" t="s">
        <v>17</v>
      </c>
      <c r="P3" s="46" t="s">
        <v>48</v>
      </c>
    </row>
    <row r="4" spans="2:17" ht="28.5" customHeight="1">
      <c r="B4" s="81">
        <v>3172</v>
      </c>
      <c r="C4" s="38" t="s">
        <v>49</v>
      </c>
      <c r="D4" s="47" t="s">
        <v>50</v>
      </c>
      <c r="E4" s="47" t="s">
        <v>23</v>
      </c>
      <c r="F4" s="47" t="s">
        <v>28</v>
      </c>
      <c r="G4" s="47" t="s">
        <v>28</v>
      </c>
      <c r="H4" s="47" t="s">
        <v>28</v>
      </c>
      <c r="I4" s="47" t="s">
        <v>28</v>
      </c>
      <c r="J4" s="47" t="s">
        <v>28</v>
      </c>
      <c r="K4" s="47" t="s">
        <v>28</v>
      </c>
      <c r="L4" s="47" t="s">
        <v>28</v>
      </c>
      <c r="M4" s="47" t="s">
        <v>28</v>
      </c>
      <c r="N4" s="47" t="s">
        <v>28</v>
      </c>
      <c r="O4" s="47" t="s">
        <v>28</v>
      </c>
      <c r="P4" s="39" t="s">
        <v>51</v>
      </c>
      <c r="Q4" s="14" t="s">
        <v>52</v>
      </c>
    </row>
    <row r="5" spans="2:17" ht="28.5" customHeight="1">
      <c r="B5" s="115">
        <v>3181</v>
      </c>
      <c r="C5" s="107" t="s">
        <v>53</v>
      </c>
      <c r="D5" s="52" t="s">
        <v>26</v>
      </c>
      <c r="E5" s="52" t="s">
        <v>23</v>
      </c>
      <c r="F5" s="52" t="s">
        <v>23</v>
      </c>
      <c r="G5" s="52" t="s">
        <v>24</v>
      </c>
      <c r="H5" s="52"/>
      <c r="I5" s="52" t="s">
        <v>28</v>
      </c>
      <c r="J5" s="52"/>
      <c r="K5" s="52" t="s">
        <v>28</v>
      </c>
      <c r="L5" s="52" t="s">
        <v>28</v>
      </c>
      <c r="M5" s="52" t="s">
        <v>28</v>
      </c>
      <c r="N5" s="52"/>
      <c r="O5" s="108">
        <v>46269</v>
      </c>
      <c r="P5" s="120" t="s">
        <v>54</v>
      </c>
    </row>
    <row r="6" spans="2:17" ht="28.5" customHeight="1">
      <c r="B6" s="133">
        <v>3185</v>
      </c>
      <c r="C6" s="27" t="s">
        <v>55</v>
      </c>
      <c r="D6" s="48" t="s">
        <v>33</v>
      </c>
      <c r="E6" s="48" t="s">
        <v>23</v>
      </c>
      <c r="F6" s="48" t="s">
        <v>23</v>
      </c>
      <c r="G6" s="48" t="s">
        <v>23</v>
      </c>
      <c r="H6" s="48" t="s">
        <v>23</v>
      </c>
      <c r="I6" s="48" t="s">
        <v>28</v>
      </c>
      <c r="J6" s="48" t="s">
        <v>28</v>
      </c>
      <c r="K6" s="48" t="s">
        <v>28</v>
      </c>
      <c r="L6" s="48" t="s">
        <v>28</v>
      </c>
      <c r="M6" s="48" t="s">
        <v>28</v>
      </c>
      <c r="N6" s="48" t="s">
        <v>24</v>
      </c>
      <c r="O6" s="74">
        <v>46234</v>
      </c>
      <c r="P6" s="134">
        <v>46235</v>
      </c>
      <c r="Q6" s="14" t="s">
        <v>56</v>
      </c>
    </row>
    <row r="7" spans="2:17" ht="28.5" customHeight="1">
      <c r="B7" s="81">
        <v>3186</v>
      </c>
      <c r="C7" s="142" t="s">
        <v>57</v>
      </c>
      <c r="D7" s="35" t="s">
        <v>35</v>
      </c>
      <c r="E7" s="47" t="s">
        <v>23</v>
      </c>
      <c r="F7" s="47" t="s">
        <v>23</v>
      </c>
      <c r="G7" s="47" t="s">
        <v>24</v>
      </c>
      <c r="H7" s="47"/>
      <c r="I7" s="47" t="s">
        <v>28</v>
      </c>
      <c r="J7" s="47"/>
      <c r="K7" s="47" t="s">
        <v>28</v>
      </c>
      <c r="L7" s="47" t="s">
        <v>28</v>
      </c>
      <c r="M7" s="47" t="s">
        <v>28</v>
      </c>
      <c r="N7" s="157"/>
      <c r="O7" s="158">
        <v>46223</v>
      </c>
      <c r="P7" s="159" t="s">
        <v>28</v>
      </c>
    </row>
    <row r="8" spans="2:17" ht="28.5" customHeight="1">
      <c r="B8" s="133">
        <v>3187</v>
      </c>
      <c r="C8" s="27" t="s">
        <v>58</v>
      </c>
      <c r="D8" s="20" t="s">
        <v>33</v>
      </c>
      <c r="E8" s="33" t="s">
        <v>23</v>
      </c>
      <c r="F8" s="48" t="s">
        <v>23</v>
      </c>
      <c r="G8" s="48" t="s">
        <v>23</v>
      </c>
      <c r="H8" s="48"/>
      <c r="I8" s="48" t="s">
        <v>28</v>
      </c>
      <c r="J8" s="48" t="s">
        <v>28</v>
      </c>
      <c r="K8" s="48" t="s">
        <v>28</v>
      </c>
      <c r="L8" s="48" t="s">
        <v>28</v>
      </c>
      <c r="M8" s="48" t="s">
        <v>28</v>
      </c>
      <c r="N8" s="48"/>
      <c r="O8" s="74" t="s">
        <v>59</v>
      </c>
      <c r="P8" s="134" t="s">
        <v>60</v>
      </c>
    </row>
    <row r="9" spans="2:17" ht="28.5" customHeight="1">
      <c r="B9" s="139">
        <v>3189</v>
      </c>
      <c r="C9" s="37" t="s">
        <v>61</v>
      </c>
      <c r="D9" s="140" t="s">
        <v>26</v>
      </c>
      <c r="E9" s="36" t="s">
        <v>23</v>
      </c>
      <c r="F9" s="49" t="s">
        <v>23</v>
      </c>
      <c r="G9" s="49" t="s">
        <v>24</v>
      </c>
      <c r="H9" s="49"/>
      <c r="I9" s="49" t="s">
        <v>28</v>
      </c>
      <c r="J9" s="49"/>
      <c r="K9" s="49" t="s">
        <v>28</v>
      </c>
      <c r="L9" s="49" t="s">
        <v>28</v>
      </c>
      <c r="M9" s="49" t="s">
        <v>28</v>
      </c>
      <c r="N9" s="49"/>
      <c r="O9" s="75">
        <v>46213</v>
      </c>
      <c r="P9" s="141" t="s">
        <v>62</v>
      </c>
    </row>
    <row r="10" spans="2:17" ht="28.5" customHeight="1">
      <c r="B10" s="81">
        <v>3191</v>
      </c>
      <c r="C10" s="142" t="s">
        <v>63</v>
      </c>
      <c r="D10" s="35" t="s">
        <v>64</v>
      </c>
      <c r="E10" s="47" t="s">
        <v>23</v>
      </c>
      <c r="F10" s="47" t="s">
        <v>23</v>
      </c>
      <c r="G10" s="47" t="s">
        <v>24</v>
      </c>
      <c r="H10" s="47" t="s">
        <v>28</v>
      </c>
      <c r="I10" s="47" t="s">
        <v>28</v>
      </c>
      <c r="J10" s="47" t="s">
        <v>28</v>
      </c>
      <c r="K10" s="47" t="s">
        <v>28</v>
      </c>
      <c r="L10" s="47" t="s">
        <v>28</v>
      </c>
      <c r="M10" s="47" t="s">
        <v>28</v>
      </c>
      <c r="N10" s="47"/>
      <c r="O10" s="65">
        <v>46212</v>
      </c>
      <c r="P10" s="39" t="s">
        <v>65</v>
      </c>
    </row>
    <row r="11" spans="2:17" ht="28.5" customHeight="1">
      <c r="B11" s="81">
        <v>3193</v>
      </c>
      <c r="C11" s="142" t="s">
        <v>66</v>
      </c>
      <c r="D11" s="35" t="s">
        <v>67</v>
      </c>
      <c r="E11" s="47" t="s">
        <v>23</v>
      </c>
      <c r="F11" s="47" t="s">
        <v>28</v>
      </c>
      <c r="G11" s="47" t="s">
        <v>28</v>
      </c>
      <c r="H11" s="47" t="s">
        <v>28</v>
      </c>
      <c r="I11" s="47" t="s">
        <v>28</v>
      </c>
      <c r="J11" s="47" t="s">
        <v>28</v>
      </c>
      <c r="K11" s="47" t="s">
        <v>28</v>
      </c>
      <c r="L11" s="47" t="s">
        <v>28</v>
      </c>
      <c r="M11" s="47" t="s">
        <v>28</v>
      </c>
      <c r="N11" s="47" t="s">
        <v>28</v>
      </c>
      <c r="O11" s="157" t="s">
        <v>28</v>
      </c>
      <c r="P11" s="39" t="s">
        <v>68</v>
      </c>
    </row>
    <row r="12" spans="2:17" ht="28.5" customHeight="1">
      <c r="B12" s="133">
        <v>3195</v>
      </c>
      <c r="C12" s="143" t="s">
        <v>69</v>
      </c>
      <c r="D12" s="33" t="s">
        <v>67</v>
      </c>
      <c r="E12" s="48"/>
      <c r="F12" s="48" t="s">
        <v>28</v>
      </c>
      <c r="G12" s="48" t="s">
        <v>28</v>
      </c>
      <c r="H12" s="48" t="s">
        <v>28</v>
      </c>
      <c r="I12" s="48" t="s">
        <v>28</v>
      </c>
      <c r="J12" s="48" t="s">
        <v>28</v>
      </c>
      <c r="K12" s="48" t="s">
        <v>28</v>
      </c>
      <c r="L12" s="48" t="s">
        <v>28</v>
      </c>
      <c r="M12" s="48" t="s">
        <v>28</v>
      </c>
      <c r="N12" s="48" t="s">
        <v>28</v>
      </c>
      <c r="O12" s="20" t="s">
        <v>28</v>
      </c>
      <c r="P12" s="134" t="s">
        <v>70</v>
      </c>
      <c r="Q12" s="14" t="s">
        <v>71</v>
      </c>
    </row>
    <row r="13" spans="2:17" ht="28.5" customHeight="1">
      <c r="B13" s="139">
        <v>3196</v>
      </c>
      <c r="C13" s="161" t="s">
        <v>61</v>
      </c>
      <c r="D13" s="36" t="s">
        <v>72</v>
      </c>
      <c r="E13" s="49" t="s">
        <v>23</v>
      </c>
      <c r="F13" s="49"/>
      <c r="G13" s="49"/>
      <c r="H13" s="49"/>
      <c r="I13" s="49" t="s">
        <v>28</v>
      </c>
      <c r="J13" s="49"/>
      <c r="K13" s="49" t="s">
        <v>28</v>
      </c>
      <c r="L13" s="49" t="s">
        <v>28</v>
      </c>
      <c r="M13" s="49" t="s">
        <v>28</v>
      </c>
      <c r="N13" s="140"/>
      <c r="O13" s="31">
        <v>46304</v>
      </c>
      <c r="P13" s="162" t="s">
        <v>70</v>
      </c>
    </row>
    <row r="14" spans="2:17" ht="28.5" customHeight="1">
      <c r="B14" s="81">
        <v>3197</v>
      </c>
      <c r="C14" s="142" t="s">
        <v>73</v>
      </c>
      <c r="D14" s="131" t="s">
        <v>35</v>
      </c>
      <c r="E14" s="35" t="s">
        <v>23</v>
      </c>
      <c r="F14" s="47" t="s">
        <v>23</v>
      </c>
      <c r="G14" s="47" t="s">
        <v>24</v>
      </c>
      <c r="H14" s="47"/>
      <c r="I14" s="47" t="s">
        <v>28</v>
      </c>
      <c r="J14" s="47"/>
      <c r="K14" s="47" t="s">
        <v>28</v>
      </c>
      <c r="L14" s="47" t="s">
        <v>28</v>
      </c>
      <c r="M14" s="47" t="s">
        <v>28</v>
      </c>
      <c r="N14" s="157"/>
      <c r="O14" s="65">
        <v>46240</v>
      </c>
      <c r="P14" s="163" t="s">
        <v>28</v>
      </c>
    </row>
    <row r="15" spans="2:17" ht="28.5" customHeight="1">
      <c r="B15" s="115">
        <v>3200</v>
      </c>
      <c r="C15" s="207" t="s">
        <v>74</v>
      </c>
      <c r="D15" s="208"/>
      <c r="E15" s="52"/>
      <c r="F15" s="52"/>
      <c r="G15" s="52"/>
      <c r="H15" s="52"/>
      <c r="I15" s="52"/>
      <c r="J15" s="52"/>
      <c r="K15" s="52"/>
      <c r="L15" s="52"/>
      <c r="M15" s="52"/>
      <c r="N15" s="209"/>
      <c r="O15" s="108"/>
      <c r="P15" s="116"/>
    </row>
    <row r="16" spans="2:17" ht="28.5" customHeight="1">
      <c r="B16" s="115">
        <v>3201</v>
      </c>
      <c r="C16" s="207" t="s">
        <v>61</v>
      </c>
      <c r="D16" s="208"/>
      <c r="E16" s="52"/>
      <c r="F16" s="52"/>
      <c r="G16" s="52"/>
      <c r="H16" s="52"/>
      <c r="I16" s="52"/>
      <c r="J16" s="52"/>
      <c r="K16" s="52"/>
      <c r="L16" s="52"/>
      <c r="M16" s="52"/>
      <c r="N16" s="209"/>
      <c r="O16" s="108"/>
      <c r="P16" s="116"/>
    </row>
    <row r="17" spans="2:17" ht="32.25" customHeight="1">
      <c r="B17" s="115" t="s">
        <v>75</v>
      </c>
      <c r="C17" s="118" t="s">
        <v>69</v>
      </c>
      <c r="D17" s="117" t="s">
        <v>26</v>
      </c>
      <c r="E17" s="52" t="s">
        <v>28</v>
      </c>
      <c r="F17" s="52" t="s">
        <v>23</v>
      </c>
      <c r="G17" s="52" t="s">
        <v>24</v>
      </c>
      <c r="H17" s="52"/>
      <c r="I17" s="117" t="s">
        <v>28</v>
      </c>
      <c r="J17" s="117" t="s">
        <v>28</v>
      </c>
      <c r="K17" s="117" t="s">
        <v>28</v>
      </c>
      <c r="L17" s="117" t="s">
        <v>28</v>
      </c>
      <c r="M17" s="117" t="s">
        <v>28</v>
      </c>
      <c r="N17" s="117"/>
      <c r="O17" s="119">
        <v>46367</v>
      </c>
      <c r="P17" s="116" t="s">
        <v>28</v>
      </c>
      <c r="Q17" s="14" t="s">
        <v>76</v>
      </c>
    </row>
    <row r="18" spans="2:17" ht="27.75" customHeight="1"/>
    <row r="19" spans="2:17" ht="15.75" customHeight="1">
      <c r="B19" s="19"/>
      <c r="C19" s="19"/>
      <c r="D19" s="20"/>
      <c r="E19" s="20"/>
      <c r="F19" s="20"/>
      <c r="G19" s="20"/>
      <c r="H19" s="20"/>
      <c r="I19" s="20"/>
      <c r="J19" s="21"/>
      <c r="K19" s="20"/>
      <c r="L19" s="21"/>
      <c r="M19" s="21"/>
      <c r="N19" s="20"/>
      <c r="O19" s="21"/>
      <c r="P19" s="21"/>
    </row>
    <row r="20" spans="2:17" ht="15.75" customHeight="1">
      <c r="B20" s="19"/>
      <c r="C20" s="19"/>
      <c r="D20" s="20"/>
      <c r="E20" s="20"/>
      <c r="F20" s="20"/>
      <c r="G20" s="20"/>
      <c r="H20" s="20"/>
      <c r="I20" s="20"/>
      <c r="J20" s="21"/>
      <c r="K20" s="20"/>
      <c r="L20" s="21"/>
      <c r="M20" s="21"/>
      <c r="N20" s="20"/>
      <c r="O20" s="21"/>
      <c r="P20" s="21"/>
    </row>
    <row r="21" spans="2:17" ht="15.75" customHeight="1">
      <c r="B21" s="19"/>
      <c r="C21" s="19"/>
      <c r="D21" s="20"/>
      <c r="E21" s="20"/>
      <c r="F21" s="20"/>
      <c r="G21" s="20"/>
      <c r="H21" s="20"/>
      <c r="I21" s="20"/>
      <c r="J21" s="21"/>
      <c r="K21" s="20"/>
      <c r="L21" s="21"/>
      <c r="M21" s="21"/>
      <c r="N21" s="20"/>
      <c r="O21" s="21"/>
      <c r="P21" s="21"/>
    </row>
    <row r="22" spans="2:17" ht="15.75" customHeight="1">
      <c r="B22" s="19"/>
      <c r="C22" s="19"/>
      <c r="D22" s="20"/>
      <c r="E22" s="20"/>
      <c r="F22" s="20"/>
      <c r="G22" s="20"/>
      <c r="H22" s="20"/>
      <c r="I22" s="20"/>
      <c r="J22" s="21"/>
      <c r="K22" s="20"/>
      <c r="L22" s="21"/>
      <c r="M22" s="21"/>
      <c r="N22" s="20"/>
      <c r="O22" s="21"/>
      <c r="P22" s="21"/>
    </row>
    <row r="23" spans="2:17" ht="15.75" customHeight="1">
      <c r="B23" s="19"/>
      <c r="C23" s="19"/>
      <c r="D23" s="20"/>
      <c r="E23" s="20"/>
      <c r="F23" s="20"/>
      <c r="G23" s="20"/>
      <c r="H23" s="20"/>
      <c r="I23" s="20"/>
      <c r="J23" s="21"/>
      <c r="K23" s="20"/>
      <c r="L23" s="21"/>
      <c r="M23" s="21"/>
      <c r="N23" s="20"/>
      <c r="O23" s="21"/>
      <c r="P23" s="21"/>
    </row>
    <row r="24" spans="2:17" ht="15.75" customHeight="1">
      <c r="B24" s="19"/>
      <c r="C24" s="19"/>
      <c r="D24" s="20"/>
      <c r="E24" s="20"/>
      <c r="F24" s="20"/>
      <c r="G24" s="20"/>
      <c r="H24" s="20"/>
      <c r="I24" s="20"/>
      <c r="J24" s="21"/>
      <c r="K24" s="20"/>
      <c r="L24" s="21"/>
      <c r="M24" s="21"/>
      <c r="N24" s="20"/>
      <c r="O24" s="21"/>
      <c r="P24" s="21"/>
    </row>
    <row r="25" spans="2:17" ht="15.75" customHeight="1">
      <c r="B25" s="19"/>
      <c r="C25" s="19"/>
      <c r="D25" s="20"/>
      <c r="E25" s="20"/>
      <c r="F25" s="20"/>
      <c r="G25" s="20"/>
      <c r="H25" s="20"/>
      <c r="I25" s="20"/>
      <c r="J25" s="21"/>
      <c r="K25" s="20"/>
      <c r="L25" s="21"/>
      <c r="M25" s="21"/>
      <c r="N25" s="20"/>
      <c r="O25" s="21"/>
      <c r="P25" s="21"/>
    </row>
    <row r="26" spans="2:17" ht="16.5" customHeight="1">
      <c r="B26" s="19"/>
      <c r="C26" s="19"/>
      <c r="D26" s="20"/>
      <c r="E26" s="20"/>
      <c r="F26" s="20"/>
      <c r="G26" s="20"/>
      <c r="H26" s="20"/>
      <c r="I26" s="20"/>
      <c r="J26" s="21"/>
      <c r="K26" s="20"/>
      <c r="L26" s="21"/>
      <c r="M26" s="21"/>
      <c r="N26" s="20"/>
      <c r="O26" s="21"/>
      <c r="P26" s="21"/>
    </row>
    <row r="27" spans="2:17" ht="16.5" customHeight="1">
      <c r="B27" s="19"/>
      <c r="C27" s="19"/>
      <c r="D27" s="20"/>
      <c r="E27" s="20"/>
      <c r="F27" s="20"/>
      <c r="G27" s="20"/>
      <c r="H27" s="20"/>
      <c r="I27" s="20"/>
      <c r="J27" s="21"/>
      <c r="K27" s="20"/>
      <c r="L27" s="21"/>
      <c r="M27" s="21"/>
      <c r="N27" s="20"/>
      <c r="O27" s="21"/>
      <c r="P27" s="21"/>
    </row>
    <row r="28" spans="2:17" ht="16.5" customHeight="1">
      <c r="B28" s="19"/>
      <c r="C28" s="19"/>
      <c r="D28" s="20"/>
      <c r="E28" s="20"/>
      <c r="F28" s="20"/>
      <c r="G28" s="20"/>
      <c r="H28" s="20"/>
      <c r="I28" s="20"/>
      <c r="J28" s="21"/>
      <c r="K28" s="20"/>
      <c r="L28" s="21"/>
      <c r="M28" s="21"/>
      <c r="N28" s="20"/>
      <c r="O28" s="21"/>
      <c r="P28" s="21"/>
    </row>
    <row r="29" spans="2:17" ht="16.5" customHeight="1">
      <c r="B29" s="19"/>
      <c r="C29" s="19"/>
      <c r="D29" s="20"/>
      <c r="E29" s="20"/>
      <c r="F29" s="20"/>
      <c r="G29" s="20"/>
      <c r="H29" s="20"/>
      <c r="I29" s="20"/>
      <c r="J29" s="21"/>
      <c r="K29" s="20"/>
      <c r="L29" s="21"/>
      <c r="M29" s="21"/>
      <c r="N29" s="20"/>
      <c r="O29" s="21"/>
      <c r="P29" s="21"/>
    </row>
  </sheetData>
  <conditionalFormatting sqref="E4:P17">
    <cfRule type="cellIs" dxfId="35" priority="4" operator="equal">
      <formula>"済"</formula>
    </cfRule>
  </conditionalFormatting>
  <conditionalFormatting sqref="E4:P17">
    <cfRule type="timePeriod" dxfId="34" priority="2" timePeriod="thisWeek">
      <formula>AND(TODAY()-ROUNDDOWN(E4,0)&lt;=WEEKDAY(TODAY())-1,ROUNDDOWN(E4,0)-TODAY()&lt;=7-WEEKDAY(TODAY()))</formula>
    </cfRule>
  </conditionalFormatting>
  <conditionalFormatting sqref="E4:P17">
    <cfRule type="timePeriod" dxfId="33" priority="3" timePeriod="nextWeek">
      <formula>AND(ROUNDDOWN(E4,0)-TODAY()&gt;(7-WEEKDAY(TODAY())),ROUNDDOWN(E4,0)-TODAY()&lt;(15-WEEKDAY(TODAY())))</formula>
    </cfRule>
  </conditionalFormatting>
  <conditionalFormatting sqref="E4:P17">
    <cfRule type="timePeriod" dxfId="32" priority="1" timePeriod="today">
      <formula>FLOOR(E4,1)=TODAY()</formula>
    </cfRule>
  </conditionalFormatting>
  <dataValidations count="1">
    <dataValidation allowBlank="1" showInputMessage="1" showErrorMessage="1" sqref="L19:M29 O19:P29 J19:J29 O13:O17 O5:O10 P4:P6 P8:P13" xr:uid="{371BBA13-3255-4873-8177-9572F3B903E3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034626-BFCE-4CE0-B22C-02E665693C12}">
          <x14:formula1>
            <xm:f>Sheet1!$B$4:$B$6</xm:f>
          </x14:formula1>
          <xm:sqref>O4 K19:K29 N19:N29 P14:P17 F19:I29 P7 O11:O12 E4:N17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C79D-6AF0-4ED5-A725-2AA8B4A4F031}">
  <dimension ref="B1:Q26"/>
  <sheetViews>
    <sheetView workbookViewId="0">
      <pane ySplit="3" topLeftCell="A4" activePane="bottomLeft" state="frozen"/>
      <selection pane="bottomLeft" activeCell="C10" sqref="C10"/>
    </sheetView>
  </sheetViews>
  <sheetFormatPr defaultRowHeight="15.75"/>
  <cols>
    <col min="1" max="1" width="1.875" customWidth="1"/>
    <col min="2" max="2" width="11.625" customWidth="1"/>
    <col min="3" max="3" width="54.625" customWidth="1"/>
    <col min="4" max="4" width="10.375" customWidth="1"/>
    <col min="5" max="5" width="11.25" customWidth="1"/>
    <col min="6" max="6" width="8.25" customWidth="1"/>
    <col min="7" max="7" width="11.375" customWidth="1"/>
    <col min="8" max="8" width="13.875" customWidth="1"/>
    <col min="9" max="9" width="8.75" customWidth="1"/>
    <col min="10" max="10" width="9" customWidth="1"/>
    <col min="11" max="11" width="8.125" customWidth="1"/>
    <col min="12" max="12" width="9.375" customWidth="1"/>
    <col min="13" max="13" width="13.375" customWidth="1"/>
    <col min="14" max="14" width="9.5" customWidth="1"/>
    <col min="15" max="15" width="10" customWidth="1"/>
    <col min="16" max="16" width="12.375" customWidth="1"/>
    <col min="17" max="17" width="35.75" customWidth="1"/>
  </cols>
  <sheetData>
    <row r="1" spans="2:17" ht="34.5" customHeight="1">
      <c r="B1" s="11" t="s">
        <v>77</v>
      </c>
      <c r="C1" s="11"/>
    </row>
    <row r="2" spans="2:17" ht="9" customHeight="1"/>
    <row r="3" spans="2:17" ht="48" customHeight="1">
      <c r="B3" s="67" t="s">
        <v>1</v>
      </c>
      <c r="C3" s="60" t="s">
        <v>2</v>
      </c>
      <c r="D3" s="60" t="s">
        <v>3</v>
      </c>
      <c r="E3" s="60" t="s">
        <v>4</v>
      </c>
      <c r="F3" s="60" t="s">
        <v>19</v>
      </c>
      <c r="G3" s="60" t="s">
        <v>47</v>
      </c>
      <c r="H3" s="60" t="s">
        <v>9</v>
      </c>
      <c r="I3" s="60" t="s">
        <v>10</v>
      </c>
      <c r="J3" s="60" t="s">
        <v>12</v>
      </c>
      <c r="K3" s="60" t="s">
        <v>13</v>
      </c>
      <c r="L3" s="60" t="s">
        <v>14</v>
      </c>
      <c r="M3" s="60" t="s">
        <v>15</v>
      </c>
      <c r="N3" s="60" t="s">
        <v>16</v>
      </c>
      <c r="O3" s="102" t="s">
        <v>17</v>
      </c>
      <c r="P3" s="61" t="s">
        <v>48</v>
      </c>
    </row>
    <row r="4" spans="2:17" ht="27.75" customHeight="1">
      <c r="B4" s="104">
        <v>4742</v>
      </c>
      <c r="C4" s="50" t="s">
        <v>78</v>
      </c>
      <c r="D4" s="56" t="s">
        <v>79</v>
      </c>
      <c r="E4" s="56" t="s">
        <v>23</v>
      </c>
      <c r="F4" s="56" t="s">
        <v>28</v>
      </c>
      <c r="G4" s="56" t="s">
        <v>28</v>
      </c>
      <c r="H4" s="56" t="s">
        <v>28</v>
      </c>
      <c r="I4" s="56" t="s">
        <v>28</v>
      </c>
      <c r="J4" s="56" t="s">
        <v>28</v>
      </c>
      <c r="K4" s="56" t="s">
        <v>28</v>
      </c>
      <c r="L4" s="56" t="s">
        <v>28</v>
      </c>
      <c r="M4" s="56" t="s">
        <v>28</v>
      </c>
      <c r="N4" s="56" t="s">
        <v>28</v>
      </c>
      <c r="O4" s="56" t="s">
        <v>28</v>
      </c>
      <c r="P4" s="58" t="s">
        <v>80</v>
      </c>
      <c r="Q4" t="s">
        <v>81</v>
      </c>
    </row>
    <row r="5" spans="2:17" ht="27.75" customHeight="1">
      <c r="B5" s="54">
        <v>4751</v>
      </c>
      <c r="C5" s="51" t="s">
        <v>82</v>
      </c>
      <c r="D5" s="55" t="s">
        <v>83</v>
      </c>
      <c r="E5" s="55" t="s">
        <v>23</v>
      </c>
      <c r="F5" s="55" t="s">
        <v>23</v>
      </c>
      <c r="G5" s="55" t="s">
        <v>23</v>
      </c>
      <c r="H5" s="55" t="s">
        <v>24</v>
      </c>
      <c r="I5" s="55" t="s">
        <v>28</v>
      </c>
      <c r="J5" s="55"/>
      <c r="K5" s="55"/>
      <c r="L5" s="55" t="s">
        <v>28</v>
      </c>
      <c r="M5" s="55"/>
      <c r="N5" s="55"/>
      <c r="O5" s="136">
        <v>46227</v>
      </c>
      <c r="P5" s="129" t="s">
        <v>84</v>
      </c>
    </row>
    <row r="6" spans="2:17" ht="27.75" customHeight="1">
      <c r="B6" s="104">
        <v>4758</v>
      </c>
      <c r="C6" s="50" t="s">
        <v>85</v>
      </c>
      <c r="D6" s="56" t="s">
        <v>35</v>
      </c>
      <c r="E6" s="56" t="s">
        <v>23</v>
      </c>
      <c r="F6" s="56" t="s">
        <v>23</v>
      </c>
      <c r="G6" s="56" t="s">
        <v>24</v>
      </c>
      <c r="H6" s="56"/>
      <c r="I6" s="56" t="s">
        <v>28</v>
      </c>
      <c r="J6" s="56"/>
      <c r="K6" s="56" t="s">
        <v>28</v>
      </c>
      <c r="L6" s="56" t="s">
        <v>28</v>
      </c>
      <c r="M6" s="56" t="s">
        <v>28</v>
      </c>
      <c r="N6" s="56"/>
      <c r="O6" s="160">
        <v>46304</v>
      </c>
      <c r="P6" s="122"/>
    </row>
    <row r="7" spans="2:17" ht="27.75" customHeight="1">
      <c r="B7" s="54">
        <v>4759</v>
      </c>
      <c r="C7" s="51" t="s">
        <v>82</v>
      </c>
      <c r="D7" s="55" t="s">
        <v>67</v>
      </c>
      <c r="E7" s="55"/>
      <c r="F7" s="55" t="s">
        <v>28</v>
      </c>
      <c r="G7" s="55" t="s">
        <v>28</v>
      </c>
      <c r="H7" s="55" t="s">
        <v>28</v>
      </c>
      <c r="I7" s="55" t="s">
        <v>28</v>
      </c>
      <c r="J7" s="55" t="s">
        <v>28</v>
      </c>
      <c r="K7" s="55" t="s">
        <v>28</v>
      </c>
      <c r="L7" s="55" t="s">
        <v>28</v>
      </c>
      <c r="M7" s="55" t="s">
        <v>28</v>
      </c>
      <c r="N7" s="55" t="s">
        <v>28</v>
      </c>
      <c r="O7" s="136">
        <v>46300</v>
      </c>
      <c r="P7" s="129" t="s">
        <v>86</v>
      </c>
      <c r="Q7" t="s">
        <v>87</v>
      </c>
    </row>
    <row r="8" spans="2:17" ht="27.75" customHeight="1">
      <c r="B8" s="104">
        <v>4761</v>
      </c>
      <c r="C8" s="50" t="s">
        <v>88</v>
      </c>
      <c r="D8" s="56" t="s">
        <v>67</v>
      </c>
      <c r="E8" s="56"/>
      <c r="F8" s="56" t="s">
        <v>28</v>
      </c>
      <c r="G8" s="56" t="s">
        <v>28</v>
      </c>
      <c r="H8" s="56" t="s">
        <v>28</v>
      </c>
      <c r="I8" s="56" t="s">
        <v>28</v>
      </c>
      <c r="J8" s="56" t="s">
        <v>28</v>
      </c>
      <c r="K8" s="56" t="s">
        <v>28</v>
      </c>
      <c r="L8" s="56" t="s">
        <v>28</v>
      </c>
      <c r="M8" s="56" t="s">
        <v>28</v>
      </c>
      <c r="N8" s="56" t="s">
        <v>28</v>
      </c>
      <c r="O8" s="56" t="s">
        <v>28</v>
      </c>
      <c r="P8" s="122" t="s">
        <v>89</v>
      </c>
      <c r="Q8" t="s">
        <v>90</v>
      </c>
    </row>
    <row r="9" spans="2:17" ht="27.75" customHeight="1">
      <c r="B9" s="125">
        <v>4762</v>
      </c>
      <c r="C9" s="137" t="s">
        <v>91</v>
      </c>
      <c r="D9" s="126" t="s">
        <v>67</v>
      </c>
      <c r="E9" s="126" t="s">
        <v>23</v>
      </c>
      <c r="F9" s="126" t="s">
        <v>28</v>
      </c>
      <c r="G9" s="126" t="s">
        <v>28</v>
      </c>
      <c r="H9" s="126" t="s">
        <v>28</v>
      </c>
      <c r="I9" s="126" t="s">
        <v>28</v>
      </c>
      <c r="J9" s="126" t="s">
        <v>28</v>
      </c>
      <c r="K9" s="126" t="s">
        <v>28</v>
      </c>
      <c r="L9" s="126" t="s">
        <v>28</v>
      </c>
      <c r="M9" s="126" t="s">
        <v>28</v>
      </c>
      <c r="N9" s="126" t="s">
        <v>28</v>
      </c>
      <c r="O9" s="126" t="s">
        <v>28</v>
      </c>
      <c r="P9" s="138" t="s">
        <v>92</v>
      </c>
    </row>
    <row r="10" spans="2:17" ht="27.75" customHeight="1">
      <c r="B10" s="54">
        <v>4764</v>
      </c>
      <c r="C10" s="51" t="s">
        <v>93</v>
      </c>
      <c r="D10" s="55" t="s">
        <v>67</v>
      </c>
      <c r="E10" s="55" t="s">
        <v>28</v>
      </c>
      <c r="F10" s="55" t="s">
        <v>28</v>
      </c>
      <c r="G10" s="55" t="s">
        <v>28</v>
      </c>
      <c r="H10" s="55" t="s">
        <v>28</v>
      </c>
      <c r="I10" s="55" t="s">
        <v>28</v>
      </c>
      <c r="J10" s="55" t="s">
        <v>28</v>
      </c>
      <c r="K10" s="55" t="s">
        <v>28</v>
      </c>
      <c r="L10" s="55" t="s">
        <v>28</v>
      </c>
      <c r="M10" s="55" t="s">
        <v>28</v>
      </c>
      <c r="N10" s="55" t="s">
        <v>28</v>
      </c>
      <c r="O10" s="55" t="s">
        <v>28</v>
      </c>
      <c r="P10" s="97" t="s">
        <v>24</v>
      </c>
    </row>
    <row r="11" spans="2:17" ht="28.5" customHeight="1">
      <c r="B11" s="109" t="s">
        <v>94</v>
      </c>
      <c r="C11" s="107" t="s">
        <v>88</v>
      </c>
      <c r="D11" s="110" t="s">
        <v>26</v>
      </c>
      <c r="E11" s="110" t="s">
        <v>28</v>
      </c>
      <c r="F11" s="110" t="s">
        <v>23</v>
      </c>
      <c r="G11" s="110" t="s">
        <v>24</v>
      </c>
      <c r="H11" s="110"/>
      <c r="I11" s="110" t="s">
        <v>28</v>
      </c>
      <c r="J11" s="110" t="s">
        <v>28</v>
      </c>
      <c r="K11" s="110" t="s">
        <v>28</v>
      </c>
      <c r="L11" s="110" t="s">
        <v>28</v>
      </c>
      <c r="M11" s="110" t="s">
        <v>28</v>
      </c>
      <c r="N11" s="110"/>
      <c r="O11" s="135">
        <v>46164</v>
      </c>
      <c r="P11" s="124"/>
    </row>
    <row r="12" spans="2:17" ht="28.5" customHeight="1">
      <c r="B12" s="54" t="s">
        <v>95</v>
      </c>
      <c r="C12" s="38" t="s">
        <v>88</v>
      </c>
      <c r="D12" s="55" t="s">
        <v>26</v>
      </c>
      <c r="E12" s="55" t="s">
        <v>28</v>
      </c>
      <c r="F12" s="55" t="s">
        <v>23</v>
      </c>
      <c r="G12" s="55" t="s">
        <v>24</v>
      </c>
      <c r="H12" s="55"/>
      <c r="I12" s="55" t="s">
        <v>28</v>
      </c>
      <c r="J12" s="55" t="s">
        <v>28</v>
      </c>
      <c r="K12" s="55" t="s">
        <v>28</v>
      </c>
      <c r="L12" s="55" t="s">
        <v>28</v>
      </c>
      <c r="M12" s="55" t="s">
        <v>28</v>
      </c>
      <c r="N12" s="55"/>
      <c r="O12" s="103">
        <v>46164</v>
      </c>
      <c r="P12" s="97"/>
    </row>
    <row r="13" spans="2:17" ht="27.75" customHeight="1">
      <c r="B13" s="125" t="s">
        <v>96</v>
      </c>
      <c r="C13" s="37" t="s">
        <v>97</v>
      </c>
      <c r="D13" s="126" t="s">
        <v>79</v>
      </c>
      <c r="E13" s="126" t="s">
        <v>28</v>
      </c>
      <c r="F13" s="126" t="s">
        <v>23</v>
      </c>
      <c r="G13" s="126" t="s">
        <v>24</v>
      </c>
      <c r="H13" s="126"/>
      <c r="I13" s="126" t="s">
        <v>28</v>
      </c>
      <c r="J13" s="126" t="s">
        <v>28</v>
      </c>
      <c r="K13" s="126" t="s">
        <v>28</v>
      </c>
      <c r="L13" s="126" t="s">
        <v>28</v>
      </c>
      <c r="M13" s="126" t="s">
        <v>28</v>
      </c>
      <c r="N13" s="126"/>
      <c r="O13" s="127">
        <v>46178</v>
      </c>
      <c r="P13" s="128"/>
    </row>
    <row r="14" spans="2:17" ht="28.5" customHeight="1">
      <c r="B14" s="54" t="s">
        <v>98</v>
      </c>
      <c r="C14" s="38" t="s">
        <v>99</v>
      </c>
      <c r="D14" s="55" t="s">
        <v>79</v>
      </c>
      <c r="E14" s="55" t="s">
        <v>28</v>
      </c>
      <c r="F14" s="55"/>
      <c r="G14" s="55"/>
      <c r="H14" s="55"/>
      <c r="I14" s="55" t="s">
        <v>28</v>
      </c>
      <c r="J14" s="55" t="s">
        <v>28</v>
      </c>
      <c r="K14" s="55" t="s">
        <v>28</v>
      </c>
      <c r="L14" s="55" t="s">
        <v>28</v>
      </c>
      <c r="M14" s="55" t="s">
        <v>28</v>
      </c>
      <c r="N14" s="55"/>
      <c r="O14" s="103">
        <v>46300</v>
      </c>
      <c r="P14" s="97"/>
    </row>
    <row r="15" spans="2:17" ht="28.5" customHeight="1">
      <c r="B15" s="54" t="s">
        <v>100</v>
      </c>
      <c r="C15" s="38" t="s">
        <v>88</v>
      </c>
      <c r="D15" s="55" t="s">
        <v>26</v>
      </c>
      <c r="E15" s="55" t="s">
        <v>28</v>
      </c>
      <c r="F15" s="55"/>
      <c r="G15" s="55"/>
      <c r="H15" s="55"/>
      <c r="I15" s="55" t="s">
        <v>28</v>
      </c>
      <c r="J15" s="55" t="s">
        <v>28</v>
      </c>
      <c r="K15" s="55" t="s">
        <v>28</v>
      </c>
      <c r="L15" s="55" t="s">
        <v>28</v>
      </c>
      <c r="M15" s="55" t="s">
        <v>28</v>
      </c>
      <c r="N15" s="55"/>
      <c r="O15" s="103">
        <v>46227</v>
      </c>
      <c r="P15" s="97" t="s">
        <v>28</v>
      </c>
    </row>
    <row r="16" spans="2:17" ht="28.5" customHeight="1">
      <c r="B16" s="54" t="s">
        <v>101</v>
      </c>
      <c r="C16" s="38" t="s">
        <v>88</v>
      </c>
      <c r="D16" s="55" t="s">
        <v>26</v>
      </c>
      <c r="E16" s="55" t="s">
        <v>28</v>
      </c>
      <c r="F16" s="55"/>
      <c r="G16" s="55"/>
      <c r="H16" s="55"/>
      <c r="I16" s="55" t="s">
        <v>28</v>
      </c>
      <c r="J16" s="55" t="s">
        <v>28</v>
      </c>
      <c r="K16" s="55" t="s">
        <v>28</v>
      </c>
      <c r="L16" s="55" t="s">
        <v>28</v>
      </c>
      <c r="M16" s="55" t="s">
        <v>28</v>
      </c>
      <c r="N16" s="55"/>
      <c r="O16" s="103">
        <v>46211</v>
      </c>
      <c r="P16" s="97" t="s">
        <v>28</v>
      </c>
    </row>
    <row r="17" spans="2:16" ht="28.5" customHeight="1">
      <c r="B17" s="54" t="s">
        <v>102</v>
      </c>
      <c r="C17" s="38" t="s">
        <v>103</v>
      </c>
      <c r="D17" s="55" t="s">
        <v>26</v>
      </c>
      <c r="E17" s="55" t="s">
        <v>28</v>
      </c>
      <c r="F17" s="55"/>
      <c r="G17" s="55"/>
      <c r="H17" s="55"/>
      <c r="I17" s="55" t="s">
        <v>28</v>
      </c>
      <c r="J17" s="55" t="s">
        <v>28</v>
      </c>
      <c r="K17" s="55" t="s">
        <v>28</v>
      </c>
      <c r="L17" s="55" t="s">
        <v>28</v>
      </c>
      <c r="M17" s="55" t="s">
        <v>28</v>
      </c>
      <c r="N17" s="55"/>
      <c r="O17" s="103">
        <v>46233</v>
      </c>
      <c r="P17" s="97" t="s">
        <v>28</v>
      </c>
    </row>
    <row r="18" spans="2:16" ht="27.75" customHeight="1">
      <c r="B18" s="54" t="s">
        <v>104</v>
      </c>
      <c r="C18" s="38" t="s">
        <v>99</v>
      </c>
      <c r="D18" s="55" t="s">
        <v>79</v>
      </c>
      <c r="E18" s="55" t="s">
        <v>28</v>
      </c>
      <c r="F18" s="55"/>
      <c r="G18" s="55"/>
      <c r="H18" s="55"/>
      <c r="I18" s="55" t="s">
        <v>28</v>
      </c>
      <c r="J18" s="55" t="s">
        <v>28</v>
      </c>
      <c r="K18" s="55" t="s">
        <v>28</v>
      </c>
      <c r="L18" s="55" t="s">
        <v>28</v>
      </c>
      <c r="M18" s="55" t="s">
        <v>28</v>
      </c>
      <c r="N18" s="55"/>
      <c r="O18" s="103">
        <v>46300</v>
      </c>
      <c r="P18" s="97" t="s">
        <v>28</v>
      </c>
    </row>
    <row r="19" spans="2:16" ht="27.75" customHeight="1">
      <c r="B19" s="54" t="s">
        <v>105</v>
      </c>
      <c r="C19" s="38" t="s">
        <v>99</v>
      </c>
      <c r="D19" s="55" t="s">
        <v>29</v>
      </c>
      <c r="E19" s="55" t="s">
        <v>28</v>
      </c>
      <c r="F19" s="55"/>
      <c r="G19" s="55"/>
      <c r="H19" s="55"/>
      <c r="I19" s="55" t="s">
        <v>28</v>
      </c>
      <c r="J19" s="55" t="s">
        <v>28</v>
      </c>
      <c r="K19" s="55" t="s">
        <v>28</v>
      </c>
      <c r="L19" s="55" t="s">
        <v>28</v>
      </c>
      <c r="M19" s="55" t="s">
        <v>28</v>
      </c>
      <c r="N19" s="55"/>
      <c r="O19" s="103">
        <v>46338</v>
      </c>
      <c r="P19" s="97"/>
    </row>
    <row r="20" spans="2:16" ht="29.25" customHeight="1">
      <c r="B20" s="54" t="s">
        <v>106</v>
      </c>
      <c r="C20" s="38" t="s">
        <v>99</v>
      </c>
      <c r="D20" s="55" t="s">
        <v>79</v>
      </c>
      <c r="E20" s="55" t="s">
        <v>28</v>
      </c>
      <c r="F20" s="55"/>
      <c r="G20" s="55"/>
      <c r="H20" s="55"/>
      <c r="I20" s="55" t="s">
        <v>28</v>
      </c>
      <c r="J20" s="55" t="s">
        <v>28</v>
      </c>
      <c r="K20" s="55" t="s">
        <v>28</v>
      </c>
      <c r="L20" s="55" t="s">
        <v>28</v>
      </c>
      <c r="M20" s="55" t="s">
        <v>28</v>
      </c>
      <c r="N20" s="55"/>
      <c r="O20" s="103">
        <v>46395</v>
      </c>
      <c r="P20" s="97" t="s">
        <v>28</v>
      </c>
    </row>
    <row r="21" spans="2:16" ht="29.25" customHeight="1">
      <c r="B21" s="54" t="s">
        <v>107</v>
      </c>
      <c r="C21" s="38" t="s">
        <v>91</v>
      </c>
      <c r="D21" s="55" t="s">
        <v>79</v>
      </c>
      <c r="E21" s="55" t="s">
        <v>28</v>
      </c>
      <c r="F21" s="55"/>
      <c r="G21" s="55"/>
      <c r="H21" s="55"/>
      <c r="I21" s="55" t="s">
        <v>28</v>
      </c>
      <c r="J21" s="55" t="s">
        <v>28</v>
      </c>
      <c r="K21" s="55" t="s">
        <v>28</v>
      </c>
      <c r="L21" s="55" t="s">
        <v>28</v>
      </c>
      <c r="M21" s="55" t="s">
        <v>28</v>
      </c>
      <c r="N21" s="55"/>
      <c r="O21" s="103">
        <v>46332</v>
      </c>
      <c r="P21" s="97" t="s">
        <v>28</v>
      </c>
    </row>
    <row r="22" spans="2:16" ht="29.25" customHeight="1">
      <c r="B22" s="54" t="s">
        <v>108</v>
      </c>
      <c r="C22" s="38" t="s">
        <v>109</v>
      </c>
      <c r="D22" s="55"/>
      <c r="E22" s="55" t="s">
        <v>28</v>
      </c>
      <c r="F22" s="55"/>
      <c r="G22" s="55"/>
      <c r="H22" s="55"/>
      <c r="I22" s="55" t="s">
        <v>28</v>
      </c>
      <c r="J22" s="55" t="s">
        <v>28</v>
      </c>
      <c r="K22" s="55" t="s">
        <v>28</v>
      </c>
      <c r="L22" s="55" t="s">
        <v>28</v>
      </c>
      <c r="M22" s="55" t="s">
        <v>28</v>
      </c>
      <c r="N22" s="55"/>
      <c r="O22" s="103">
        <v>46289</v>
      </c>
      <c r="P22" s="97" t="s">
        <v>28</v>
      </c>
    </row>
    <row r="25" spans="2:16" ht="37.5" customHeight="1">
      <c r="B25" s="67" t="s">
        <v>1</v>
      </c>
      <c r="C25" s="60" t="s">
        <v>2</v>
      </c>
      <c r="D25" s="60" t="s">
        <v>3</v>
      </c>
      <c r="E25" s="60" t="s">
        <v>110</v>
      </c>
      <c r="F25" s="60" t="s">
        <v>111</v>
      </c>
      <c r="G25" s="61" t="s">
        <v>112</v>
      </c>
    </row>
    <row r="26" spans="2:16" ht="30.75" customHeight="1">
      <c r="B26" s="54" t="s">
        <v>113</v>
      </c>
      <c r="C26" s="147" t="s">
        <v>99</v>
      </c>
      <c r="D26" s="147" t="s">
        <v>79</v>
      </c>
      <c r="E26" s="55" t="s">
        <v>24</v>
      </c>
      <c r="F26" s="55"/>
      <c r="G26" s="97"/>
    </row>
  </sheetData>
  <conditionalFormatting sqref="E4:P22">
    <cfRule type="cellIs" dxfId="31" priority="16" operator="equal">
      <formula>"済"</formula>
    </cfRule>
  </conditionalFormatting>
  <conditionalFormatting sqref="E4:P22">
    <cfRule type="timePeriod" dxfId="30" priority="14" timePeriod="thisWeek">
      <formula>AND(TODAY()-ROUNDDOWN(E4,0)&lt;=WEEKDAY(TODAY())-1,ROUNDDOWN(E4,0)-TODAY()&lt;=7-WEEKDAY(TODAY()))</formula>
    </cfRule>
  </conditionalFormatting>
  <conditionalFormatting sqref="E4:P22">
    <cfRule type="timePeriod" dxfId="29" priority="15" timePeriod="nextWeek">
      <formula>AND(ROUNDDOWN(E4,0)-TODAY()&gt;(7-WEEKDAY(TODAY())),ROUNDDOWN(E4,0)-TODAY()&lt;(15-WEEKDAY(TODAY())))</formula>
    </cfRule>
  </conditionalFormatting>
  <conditionalFormatting sqref="E4:P22">
    <cfRule type="timePeriod" dxfId="28" priority="13" timePeriod="today">
      <formula>FLOOR(E4,1)=TODAY()</formula>
    </cfRule>
  </conditionalFormatting>
  <conditionalFormatting sqref="E26:G26">
    <cfRule type="cellIs" dxfId="27" priority="4" operator="equal">
      <formula>"済"</formula>
    </cfRule>
  </conditionalFormatting>
  <conditionalFormatting sqref="E26:G26">
    <cfRule type="timePeriod" dxfId="26" priority="2" timePeriod="thisWeek">
      <formula>AND(TODAY()-ROUNDDOWN(E26,0)&lt;=WEEKDAY(TODAY())-1,ROUNDDOWN(E26,0)-TODAY()&lt;=7-WEEKDAY(TODAY()))</formula>
    </cfRule>
  </conditionalFormatting>
  <conditionalFormatting sqref="E26:G26">
    <cfRule type="timePeriod" dxfId="25" priority="3" timePeriod="nextWeek">
      <formula>AND(ROUNDDOWN(E26,0)-TODAY()&gt;(7-WEEKDAY(TODAY())),ROUNDDOWN(E26,0)-TODAY()&lt;(15-WEEKDAY(TODAY())))</formula>
    </cfRule>
  </conditionalFormatting>
  <conditionalFormatting sqref="E26:G26">
    <cfRule type="timePeriod" dxfId="24" priority="1" timePeriod="today">
      <formula>FLOOR(E26,1)=TODAY()</formula>
    </cfRule>
  </conditionalFormatting>
  <dataValidations count="1">
    <dataValidation allowBlank="1" showInputMessage="1" showErrorMessage="1" sqref="O5:O7 P4:P9 O11:O22" xr:uid="{A94D4A3A-9781-4590-A695-90F4D016621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034B8A-F242-4B62-87A5-604C027527CC}">
          <x14:formula1>
            <xm:f>Sheet1!$B$4:$B$6</xm:f>
          </x14:formula1>
          <xm:sqref>O4 E26:G26 P10:P22 O8:O10 E4:N22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4186-9844-4630-9C9C-187D76D395FE}">
  <dimension ref="B1:N25"/>
  <sheetViews>
    <sheetView workbookViewId="0">
      <selection activeCell="E8" sqref="E8"/>
    </sheetView>
  </sheetViews>
  <sheetFormatPr defaultRowHeight="15.75"/>
  <cols>
    <col min="1" max="1" width="3.25" customWidth="1"/>
    <col min="2" max="2" width="15.75" customWidth="1"/>
    <col min="3" max="3" width="47" customWidth="1"/>
    <col min="4" max="4" width="9.875" customWidth="1"/>
    <col min="5" max="5" width="10.625" customWidth="1"/>
    <col min="6" max="6" width="10.25" customWidth="1"/>
    <col min="7" max="7" width="10.75" customWidth="1"/>
    <col min="8" max="8" width="11.625" customWidth="1"/>
    <col min="9" max="9" width="12.625" customWidth="1"/>
    <col min="10" max="11" width="9.875" customWidth="1"/>
    <col min="12" max="12" width="13.25" customWidth="1"/>
    <col min="13" max="14" width="9.875" customWidth="1"/>
    <col min="15" max="15" width="30.625" customWidth="1"/>
  </cols>
  <sheetData>
    <row r="1" spans="2:14" ht="33" customHeight="1">
      <c r="B1" s="11" t="s">
        <v>114</v>
      </c>
      <c r="C1" s="11"/>
    </row>
    <row r="3" spans="2:14" ht="46.5" customHeight="1">
      <c r="B3" s="98" t="s">
        <v>1</v>
      </c>
      <c r="C3" s="60" t="s">
        <v>2</v>
      </c>
      <c r="D3" s="99" t="s">
        <v>3</v>
      </c>
      <c r="E3" s="60" t="s">
        <v>19</v>
      </c>
      <c r="F3" s="60" t="s">
        <v>47</v>
      </c>
      <c r="G3" s="60" t="s">
        <v>9</v>
      </c>
      <c r="H3" s="60" t="s">
        <v>10</v>
      </c>
      <c r="I3" s="111" t="s">
        <v>115</v>
      </c>
      <c r="J3" s="60" t="s">
        <v>13</v>
      </c>
      <c r="K3" s="60" t="s">
        <v>14</v>
      </c>
      <c r="L3" s="60" t="s">
        <v>15</v>
      </c>
      <c r="M3" s="60" t="s">
        <v>16</v>
      </c>
      <c r="N3" s="61" t="s">
        <v>17</v>
      </c>
    </row>
    <row r="4" spans="2:14" ht="30" customHeight="1">
      <c r="B4" s="54" t="s">
        <v>116</v>
      </c>
      <c r="C4" s="38" t="s">
        <v>88</v>
      </c>
      <c r="D4" s="55" t="s">
        <v>26</v>
      </c>
      <c r="E4" s="105" t="s">
        <v>23</v>
      </c>
      <c r="F4" s="55" t="s">
        <v>24</v>
      </c>
      <c r="G4" s="106"/>
      <c r="H4" s="55" t="s">
        <v>28</v>
      </c>
      <c r="I4" s="55" t="s">
        <v>28</v>
      </c>
      <c r="J4" s="55" t="s">
        <v>28</v>
      </c>
      <c r="K4" s="55" t="s">
        <v>28</v>
      </c>
      <c r="L4" s="55" t="s">
        <v>28</v>
      </c>
      <c r="M4" s="55"/>
      <c r="N4" s="59">
        <v>46293</v>
      </c>
    </row>
    <row r="5" spans="2:14" ht="30" customHeight="1">
      <c r="B5" s="109" t="s">
        <v>117</v>
      </c>
      <c r="C5" s="107" t="s">
        <v>118</v>
      </c>
      <c r="D5" s="110" t="s">
        <v>26</v>
      </c>
      <c r="E5" s="112" t="s">
        <v>23</v>
      </c>
      <c r="F5" s="110" t="s">
        <v>24</v>
      </c>
      <c r="G5" s="113" t="s">
        <v>24</v>
      </c>
      <c r="H5" s="110" t="s">
        <v>28</v>
      </c>
      <c r="I5" s="110" t="s">
        <v>28</v>
      </c>
      <c r="J5" s="110" t="s">
        <v>28</v>
      </c>
      <c r="K5" s="110" t="s">
        <v>28</v>
      </c>
      <c r="L5" s="110" t="s">
        <v>28</v>
      </c>
      <c r="M5" s="110"/>
      <c r="N5" s="130">
        <v>46212</v>
      </c>
    </row>
    <row r="6" spans="2:14" ht="30" customHeight="1">
      <c r="B6" s="104" t="s">
        <v>119</v>
      </c>
      <c r="C6" s="27" t="s">
        <v>63</v>
      </c>
      <c r="D6" s="56" t="s">
        <v>26</v>
      </c>
      <c r="E6" s="149" t="s">
        <v>23</v>
      </c>
      <c r="F6" s="56" t="s">
        <v>24</v>
      </c>
      <c r="G6" s="150"/>
      <c r="H6" s="56"/>
      <c r="I6" s="56"/>
      <c r="J6" s="56"/>
      <c r="K6" s="56"/>
      <c r="L6" s="56"/>
      <c r="M6" s="56"/>
      <c r="N6" s="151">
        <v>46374</v>
      </c>
    </row>
    <row r="7" spans="2:14" ht="34.5" customHeight="1">
      <c r="B7" s="54" t="s">
        <v>120</v>
      </c>
      <c r="C7" s="38" t="s">
        <v>63</v>
      </c>
      <c r="D7" s="55" t="s">
        <v>26</v>
      </c>
      <c r="E7" s="105"/>
      <c r="F7" s="55"/>
      <c r="G7" s="106"/>
      <c r="H7" s="55"/>
      <c r="I7" s="55"/>
      <c r="J7" s="55"/>
      <c r="K7" s="55"/>
      <c r="L7" s="55"/>
      <c r="M7" s="55"/>
      <c r="N7" s="59">
        <v>46464</v>
      </c>
    </row>
    <row r="8" spans="2:14" ht="34.5" customHeight="1">
      <c r="B8" s="54" t="s">
        <v>121</v>
      </c>
      <c r="C8" s="38" t="s">
        <v>85</v>
      </c>
      <c r="D8" s="55" t="s">
        <v>26</v>
      </c>
      <c r="E8" s="105"/>
      <c r="F8" s="55"/>
      <c r="G8" s="106"/>
      <c r="H8" s="55" t="s">
        <v>28</v>
      </c>
      <c r="I8" s="55"/>
      <c r="J8" s="55"/>
      <c r="K8" s="55" t="s">
        <v>28</v>
      </c>
      <c r="L8" s="55" t="s">
        <v>28</v>
      </c>
      <c r="M8" s="55"/>
      <c r="N8" s="59">
        <v>46443</v>
      </c>
    </row>
    <row r="9" spans="2:14" ht="34.5" customHeight="1">
      <c r="B9" s="152"/>
      <c r="C9" s="19"/>
      <c r="D9" s="1"/>
      <c r="E9" s="1"/>
      <c r="F9" s="1"/>
      <c r="G9" s="1"/>
      <c r="H9" s="1"/>
      <c r="I9" s="1"/>
      <c r="J9" s="1"/>
      <c r="K9" s="1"/>
      <c r="L9" s="1"/>
      <c r="M9" s="1"/>
      <c r="N9" s="153"/>
    </row>
    <row r="10" spans="2:14" ht="34.5" customHeight="1">
      <c r="B10" s="154" t="s">
        <v>1</v>
      </c>
      <c r="C10" s="145" t="s">
        <v>2</v>
      </c>
      <c r="D10" s="155" t="s">
        <v>3</v>
      </c>
      <c r="E10" s="144" t="s">
        <v>110</v>
      </c>
      <c r="F10" s="145" t="s">
        <v>111</v>
      </c>
      <c r="G10" s="146" t="s">
        <v>112</v>
      </c>
    </row>
    <row r="11" spans="2:14" ht="31.5" customHeight="1">
      <c r="B11" s="148" t="s">
        <v>122</v>
      </c>
      <c r="C11" s="107" t="s">
        <v>123</v>
      </c>
      <c r="D11" s="113" t="s">
        <v>26</v>
      </c>
      <c r="E11" s="112"/>
      <c r="F11" s="110"/>
      <c r="G11" s="156"/>
    </row>
    <row r="12" spans="2:14" ht="16.5">
      <c r="B12" s="22"/>
      <c r="C12" s="22"/>
      <c r="D12" s="1"/>
      <c r="E12" s="1"/>
      <c r="F12" s="1"/>
      <c r="G12" s="1"/>
      <c r="H12" s="1"/>
      <c r="I12" s="12"/>
      <c r="J12" s="1"/>
      <c r="K12" s="12"/>
      <c r="L12" s="12"/>
      <c r="M12" s="1"/>
      <c r="N12" s="12"/>
    </row>
    <row r="13" spans="2:14" ht="16.5">
      <c r="B13" s="22"/>
      <c r="C13" s="22"/>
      <c r="D13" s="1"/>
      <c r="E13" s="1"/>
      <c r="F13" s="1"/>
      <c r="G13" s="1"/>
      <c r="H13" s="1"/>
      <c r="I13" s="12"/>
      <c r="J13" s="1"/>
      <c r="K13" s="12"/>
      <c r="L13" s="12"/>
      <c r="M13" s="1"/>
      <c r="N13" s="12"/>
    </row>
    <row r="14" spans="2:14" ht="16.5">
      <c r="B14" s="22"/>
      <c r="C14" s="22"/>
      <c r="D14" s="1"/>
      <c r="E14" s="1"/>
      <c r="F14" s="1"/>
      <c r="G14" s="1"/>
      <c r="H14" s="1"/>
      <c r="I14" s="12"/>
      <c r="J14" s="1"/>
      <c r="K14" s="12"/>
      <c r="L14" s="12"/>
      <c r="M14" s="1"/>
      <c r="N14" s="12"/>
    </row>
    <row r="15" spans="2:14" ht="16.5">
      <c r="B15" s="22"/>
      <c r="C15" s="22"/>
      <c r="D15" s="1"/>
      <c r="E15" s="1"/>
      <c r="F15" s="1"/>
      <c r="G15" s="1"/>
      <c r="H15" s="1"/>
      <c r="I15" s="12"/>
      <c r="J15" s="1"/>
      <c r="K15" s="12"/>
      <c r="L15" s="12"/>
      <c r="M15" s="1"/>
      <c r="N15" s="12"/>
    </row>
    <row r="16" spans="2:14" ht="16.5">
      <c r="B16" s="22"/>
      <c r="C16" s="22"/>
      <c r="D16" s="1"/>
      <c r="E16" s="1"/>
      <c r="F16" s="1"/>
      <c r="G16" s="1"/>
      <c r="H16" s="1"/>
      <c r="I16" s="12"/>
      <c r="J16" s="1"/>
      <c r="K16" s="12"/>
      <c r="L16" s="12"/>
      <c r="M16" s="1"/>
      <c r="N16" s="12"/>
    </row>
    <row r="17" spans="2:14" ht="16.5">
      <c r="B17" s="22"/>
      <c r="C17" s="22"/>
      <c r="D17" s="1"/>
      <c r="E17" s="1"/>
      <c r="F17" s="1"/>
      <c r="G17" s="1"/>
      <c r="H17" s="1"/>
      <c r="I17" s="12"/>
      <c r="J17" s="1"/>
      <c r="K17" s="12"/>
      <c r="L17" s="12"/>
      <c r="M17" s="1"/>
      <c r="N17" s="12"/>
    </row>
    <row r="18" spans="2:14" ht="16.5">
      <c r="B18" s="22"/>
      <c r="C18" s="22"/>
      <c r="D18" s="1"/>
      <c r="E18" s="1"/>
      <c r="F18" s="1"/>
      <c r="G18" s="1"/>
      <c r="H18" s="1"/>
      <c r="I18" s="12"/>
      <c r="J18" s="1"/>
      <c r="K18" s="12"/>
      <c r="L18" s="12"/>
      <c r="M18" s="1"/>
      <c r="N18" s="12"/>
    </row>
    <row r="19" spans="2:14" ht="16.5">
      <c r="B19" s="22"/>
      <c r="C19" s="22"/>
      <c r="D19" s="1"/>
      <c r="E19" s="1"/>
      <c r="F19" s="1"/>
      <c r="G19" s="1"/>
      <c r="H19" s="1"/>
      <c r="I19" s="12"/>
      <c r="J19" s="1"/>
      <c r="K19" s="12"/>
      <c r="L19" s="12"/>
      <c r="M19" s="1"/>
      <c r="N19" s="12"/>
    </row>
    <row r="20" spans="2:14" ht="16.5">
      <c r="B20" s="22"/>
      <c r="C20" s="22"/>
      <c r="D20" s="1"/>
      <c r="E20" s="1"/>
      <c r="F20" s="1"/>
      <c r="G20" s="1"/>
      <c r="H20" s="1"/>
      <c r="I20" s="12"/>
      <c r="J20" s="1"/>
      <c r="K20" s="12"/>
      <c r="L20" s="12"/>
      <c r="M20" s="1"/>
      <c r="N20" s="12"/>
    </row>
    <row r="21" spans="2:14" ht="16.5">
      <c r="B21" s="22"/>
      <c r="C21" s="22"/>
      <c r="D21" s="1"/>
      <c r="E21" s="1"/>
      <c r="F21" s="1"/>
      <c r="G21" s="1"/>
      <c r="H21" s="1"/>
      <c r="I21" s="12"/>
      <c r="J21" s="1"/>
      <c r="K21" s="12"/>
      <c r="L21" s="12"/>
      <c r="M21" s="1"/>
      <c r="N21" s="12"/>
    </row>
    <row r="22" spans="2:14" ht="16.5">
      <c r="B22" s="22"/>
      <c r="C22" s="22"/>
      <c r="D22" s="1"/>
      <c r="E22" s="1"/>
      <c r="F22" s="1"/>
      <c r="G22" s="1"/>
      <c r="H22" s="1"/>
      <c r="I22" s="12"/>
      <c r="J22" s="1"/>
      <c r="K22" s="12"/>
      <c r="L22" s="12"/>
      <c r="M22" s="1"/>
      <c r="N22" s="12"/>
    </row>
    <row r="23" spans="2:14" ht="16.5">
      <c r="B23" s="22"/>
      <c r="C23" s="22"/>
      <c r="D23" s="1"/>
      <c r="E23" s="1"/>
      <c r="F23" s="1"/>
      <c r="G23" s="1"/>
      <c r="H23" s="1"/>
      <c r="I23" s="12"/>
      <c r="J23" s="1"/>
      <c r="K23" s="12"/>
      <c r="L23" s="12"/>
      <c r="M23" s="1"/>
      <c r="N23" s="12"/>
    </row>
    <row r="24" spans="2:14" ht="16.5">
      <c r="B24" s="22"/>
      <c r="C24" s="22"/>
      <c r="D24" s="1"/>
      <c r="E24" s="1"/>
      <c r="F24" s="1"/>
      <c r="G24" s="1"/>
      <c r="H24" s="1"/>
      <c r="I24" s="12"/>
      <c r="J24" s="1"/>
      <c r="K24" s="12"/>
      <c r="L24" s="12"/>
      <c r="M24" s="1"/>
      <c r="N24" s="12"/>
    </row>
    <row r="25" spans="2:14" ht="16.5">
      <c r="B25" s="22"/>
      <c r="C25" s="22"/>
      <c r="D25" s="1"/>
      <c r="E25" s="1"/>
      <c r="F25" s="1"/>
      <c r="G25" s="1"/>
      <c r="H25" s="1"/>
      <c r="I25" s="12"/>
      <c r="J25" s="1"/>
      <c r="K25" s="12"/>
      <c r="L25" s="12"/>
      <c r="M25" s="1"/>
      <c r="N25" s="12"/>
    </row>
  </sheetData>
  <conditionalFormatting sqref="E11:N25 E4:N9">
    <cfRule type="cellIs" dxfId="23" priority="4" operator="equal">
      <formula>"済"</formula>
    </cfRule>
  </conditionalFormatting>
  <conditionalFormatting sqref="E11:N25 E4:N9">
    <cfRule type="timePeriod" dxfId="22" priority="2" timePeriod="thisWeek">
      <formula>AND(TODAY()-ROUNDDOWN(E4,0)&lt;=WEEKDAY(TODAY())-1,ROUNDDOWN(E4,0)-TODAY()&lt;=7-WEEKDAY(TODAY()))</formula>
    </cfRule>
  </conditionalFormatting>
  <conditionalFormatting sqref="E11:N25 E4:N9">
    <cfRule type="timePeriod" dxfId="21" priority="3" timePeriod="nextWeek">
      <formula>AND(ROUNDDOWN(E4,0)-TODAY()&gt;(7-WEEKDAY(TODAY())),ROUNDDOWN(E4,0)-TODAY()&lt;(15-WEEKDAY(TODAY())))</formula>
    </cfRule>
  </conditionalFormatting>
  <conditionalFormatting sqref="E11:N25 E4:N9">
    <cfRule type="timePeriod" dxfId="20" priority="1" timePeriod="today">
      <formula>FLOOR(E4,1)=TODAY()</formula>
    </cfRule>
  </conditionalFormatting>
  <dataValidations count="1">
    <dataValidation allowBlank="1" showInputMessage="1" showErrorMessage="1" sqref="K12:L25 I12:I25 N12:N25 N4:N9" xr:uid="{355FFB2C-F152-4F3E-B036-1F73965C18D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F1B2AA-960B-40E4-8EAD-D87CA6F8F99E}">
          <x14:formula1>
            <xm:f>Sheet1!$B$4:$B$6</xm:f>
          </x14:formula1>
          <xm:sqref>E12:H25 J12:J25 M12:M25 E11:G11 E4:M9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3BE3-2334-44D7-8959-E7B1287F3DB3}">
  <dimension ref="A1:O25"/>
  <sheetViews>
    <sheetView workbookViewId="0">
      <pane xSplit="7" ySplit="4" topLeftCell="H19" activePane="bottomRight" state="frozen"/>
      <selection pane="bottomRight" activeCell="G25" sqref="G25"/>
      <selection pane="bottomLeft"/>
      <selection pane="topRight"/>
    </sheetView>
  </sheetViews>
  <sheetFormatPr defaultRowHeight="15.75" customHeight="1"/>
  <cols>
    <col min="1" max="1" width="1.125" style="14" customWidth="1"/>
    <col min="2" max="3" width="7.875" style="14" customWidth="1"/>
    <col min="4" max="4" width="6.875" style="20" customWidth="1"/>
    <col min="5" max="5" width="8.25" style="14" customWidth="1"/>
    <col min="6" max="6" width="36.75" style="14" customWidth="1"/>
    <col min="7" max="7" width="9.125" style="20" customWidth="1"/>
    <col min="8" max="8" width="48.75" style="14" customWidth="1"/>
    <col min="9" max="9" width="10.25" style="14" customWidth="1"/>
    <col min="10" max="10" width="7.125" style="14" customWidth="1"/>
    <col min="11" max="11" width="11.5" style="14" customWidth="1"/>
    <col min="12" max="14" width="6.875" style="21" customWidth="1"/>
    <col min="15" max="15" width="53.75" style="14" customWidth="1"/>
    <col min="16" max="16384" width="9" style="14"/>
  </cols>
  <sheetData>
    <row r="1" spans="1:15" ht="33" customHeight="1">
      <c r="B1" s="204" t="s">
        <v>124</v>
      </c>
      <c r="C1" s="204"/>
      <c r="D1" s="204"/>
      <c r="E1" s="204"/>
    </row>
    <row r="2" spans="1:15" ht="9" customHeight="1"/>
    <row r="3" spans="1:15" ht="24" customHeight="1">
      <c r="B3" s="202" t="s">
        <v>125</v>
      </c>
      <c r="C3" s="202" t="s">
        <v>126</v>
      </c>
      <c r="D3" s="202" t="s">
        <v>127</v>
      </c>
      <c r="E3" s="205" t="s">
        <v>128</v>
      </c>
      <c r="F3" s="202" t="s">
        <v>2</v>
      </c>
      <c r="G3" s="202" t="s">
        <v>129</v>
      </c>
      <c r="H3" s="201" t="s">
        <v>130</v>
      </c>
      <c r="I3" s="201" t="s">
        <v>131</v>
      </c>
      <c r="J3" s="201" t="s">
        <v>132</v>
      </c>
      <c r="K3" s="201" t="s">
        <v>133</v>
      </c>
      <c r="L3" s="200" t="s">
        <v>134</v>
      </c>
      <c r="M3" s="200" t="s">
        <v>135</v>
      </c>
      <c r="N3" s="200" t="s">
        <v>136</v>
      </c>
      <c r="O3" s="201" t="s">
        <v>137</v>
      </c>
    </row>
    <row r="4" spans="1:15" ht="18.75" customHeight="1">
      <c r="B4" s="203"/>
      <c r="C4" s="203"/>
      <c r="D4" s="203"/>
      <c r="E4" s="206"/>
      <c r="F4" s="203"/>
      <c r="G4" s="203"/>
      <c r="H4" s="201"/>
      <c r="I4" s="201"/>
      <c r="J4" s="201"/>
      <c r="K4" s="201"/>
      <c r="L4" s="200"/>
      <c r="M4" s="200"/>
      <c r="N4" s="200"/>
      <c r="O4" s="201"/>
    </row>
    <row r="5" spans="1:15" ht="69" customHeight="1">
      <c r="B5" s="93">
        <v>7248</v>
      </c>
      <c r="C5" s="93">
        <v>2921</v>
      </c>
      <c r="D5" s="15"/>
      <c r="E5" s="23"/>
      <c r="F5" s="92" t="s">
        <v>138</v>
      </c>
      <c r="G5" s="93" t="s">
        <v>139</v>
      </c>
      <c r="H5" s="89" t="s">
        <v>140</v>
      </c>
      <c r="I5" s="94" t="s">
        <v>141</v>
      </c>
      <c r="J5" s="94" t="s">
        <v>2</v>
      </c>
      <c r="K5" s="101" t="s">
        <v>142</v>
      </c>
      <c r="L5" s="91"/>
      <c r="M5" s="91"/>
      <c r="N5" s="91"/>
      <c r="O5" s="89" t="s">
        <v>143</v>
      </c>
    </row>
    <row r="6" spans="1:15" ht="51" customHeight="1">
      <c r="B6" s="93">
        <v>7297</v>
      </c>
      <c r="C6" s="93">
        <v>2783</v>
      </c>
      <c r="D6" s="26"/>
      <c r="E6" s="23"/>
      <c r="F6" s="92" t="s">
        <v>61</v>
      </c>
      <c r="G6" s="94" t="s">
        <v>144</v>
      </c>
      <c r="H6" s="89" t="s">
        <v>145</v>
      </c>
      <c r="I6" s="95" t="s">
        <v>146</v>
      </c>
      <c r="J6" s="95"/>
      <c r="K6" s="100" t="s">
        <v>147</v>
      </c>
      <c r="L6" s="91"/>
      <c r="M6" s="91"/>
      <c r="N6" s="91"/>
      <c r="O6" s="89"/>
    </row>
    <row r="7" spans="1:15" ht="57.75" customHeight="1">
      <c r="A7" s="25"/>
      <c r="B7" s="93">
        <v>7303</v>
      </c>
      <c r="C7" s="93">
        <v>2784</v>
      </c>
      <c r="D7" s="15"/>
      <c r="E7" s="23"/>
      <c r="F7" s="92" t="s">
        <v>148</v>
      </c>
      <c r="G7" s="93" t="s">
        <v>144</v>
      </c>
      <c r="H7" s="90" t="s">
        <v>149</v>
      </c>
      <c r="I7" s="94" t="s">
        <v>150</v>
      </c>
      <c r="J7" s="96"/>
      <c r="K7" s="101" t="s">
        <v>151</v>
      </c>
      <c r="L7" s="91"/>
      <c r="M7" s="91"/>
      <c r="N7" s="91"/>
      <c r="O7" s="90"/>
    </row>
    <row r="8" spans="1:15" ht="38.25" customHeight="1">
      <c r="A8" s="25"/>
      <c r="B8" s="93">
        <v>7313</v>
      </c>
      <c r="C8" s="93">
        <v>2796</v>
      </c>
      <c r="D8" s="15"/>
      <c r="E8" s="23"/>
      <c r="F8" s="92" t="s">
        <v>152</v>
      </c>
      <c r="G8" s="93" t="s">
        <v>153</v>
      </c>
      <c r="H8" s="123" t="s">
        <v>154</v>
      </c>
      <c r="I8" s="94" t="s">
        <v>155</v>
      </c>
      <c r="J8" s="96"/>
      <c r="K8" s="101" t="s">
        <v>147</v>
      </c>
      <c r="L8" s="91"/>
      <c r="M8" s="91"/>
      <c r="N8" s="91"/>
      <c r="O8" s="90"/>
    </row>
    <row r="9" spans="1:15" ht="40.5" customHeight="1">
      <c r="B9" s="93">
        <v>7314</v>
      </c>
      <c r="C9" s="93">
        <v>2778</v>
      </c>
      <c r="D9" s="15"/>
      <c r="E9" s="23"/>
      <c r="F9" s="92" t="s">
        <v>156</v>
      </c>
      <c r="G9" s="93" t="s">
        <v>153</v>
      </c>
      <c r="H9" s="90" t="s">
        <v>157</v>
      </c>
      <c r="I9" s="95" t="s">
        <v>158</v>
      </c>
      <c r="J9" s="96"/>
      <c r="K9" s="101" t="s">
        <v>151</v>
      </c>
      <c r="L9" s="91"/>
      <c r="M9" s="91"/>
      <c r="N9" s="91"/>
      <c r="O9" s="90"/>
    </row>
    <row r="10" spans="1:15" ht="27" customHeight="1">
      <c r="B10" s="93">
        <v>7315</v>
      </c>
      <c r="C10" s="93">
        <v>2751</v>
      </c>
      <c r="D10" s="15"/>
      <c r="E10" s="23"/>
      <c r="F10" s="92" t="s">
        <v>88</v>
      </c>
      <c r="G10" s="93" t="s">
        <v>153</v>
      </c>
      <c r="H10" s="90" t="s">
        <v>159</v>
      </c>
      <c r="I10" s="96"/>
      <c r="J10" s="94" t="s">
        <v>160</v>
      </c>
      <c r="K10" s="101" t="s">
        <v>161</v>
      </c>
      <c r="L10" s="91"/>
      <c r="M10" s="91"/>
      <c r="N10" s="91"/>
      <c r="O10" s="90"/>
    </row>
    <row r="11" spans="1:15" ht="27" customHeight="1">
      <c r="B11" s="93">
        <v>7316</v>
      </c>
      <c r="C11" s="93">
        <v>2751</v>
      </c>
      <c r="D11" s="15"/>
      <c r="E11" s="23"/>
      <c r="F11" s="92" t="s">
        <v>88</v>
      </c>
      <c r="G11" s="93" t="s">
        <v>153</v>
      </c>
      <c r="H11" s="90" t="s">
        <v>159</v>
      </c>
      <c r="I11" s="96"/>
      <c r="J11" s="94" t="s">
        <v>160</v>
      </c>
      <c r="K11" s="101" t="s">
        <v>161</v>
      </c>
      <c r="L11" s="91"/>
      <c r="M11" s="91"/>
      <c r="N11" s="91"/>
      <c r="O11" s="90"/>
    </row>
    <row r="12" spans="1:15" ht="51.75" customHeight="1">
      <c r="B12" s="93">
        <v>7317</v>
      </c>
      <c r="C12" s="93">
        <v>2804</v>
      </c>
      <c r="D12" s="15"/>
      <c r="E12" s="23"/>
      <c r="F12" s="92" t="s">
        <v>162</v>
      </c>
      <c r="G12" s="93" t="s">
        <v>139</v>
      </c>
      <c r="H12" s="90" t="s">
        <v>163</v>
      </c>
      <c r="I12" s="96"/>
      <c r="J12" s="95" t="s">
        <v>164</v>
      </c>
      <c r="K12" s="101" t="s">
        <v>165</v>
      </c>
      <c r="L12" s="91"/>
      <c r="M12" s="91"/>
      <c r="N12" s="91"/>
      <c r="O12" s="90" t="s">
        <v>166</v>
      </c>
    </row>
    <row r="13" spans="1:15" ht="27" customHeight="1">
      <c r="B13" s="93">
        <v>7321</v>
      </c>
      <c r="C13" s="93">
        <v>2751</v>
      </c>
      <c r="D13" s="15"/>
      <c r="E13" s="23"/>
      <c r="F13" s="92" t="s">
        <v>88</v>
      </c>
      <c r="G13" s="93" t="s">
        <v>153</v>
      </c>
      <c r="H13" s="90" t="s">
        <v>167</v>
      </c>
      <c r="I13" s="96"/>
      <c r="J13" s="96"/>
      <c r="K13" s="101" t="s">
        <v>161</v>
      </c>
      <c r="L13" s="91">
        <v>46073</v>
      </c>
      <c r="M13" s="91">
        <v>46076</v>
      </c>
      <c r="N13" s="91"/>
      <c r="O13" s="90" t="s">
        <v>168</v>
      </c>
    </row>
    <row r="14" spans="1:15" ht="24.75" customHeight="1">
      <c r="B14" s="93">
        <v>7323</v>
      </c>
      <c r="C14" s="93">
        <v>2751</v>
      </c>
      <c r="D14" s="15"/>
      <c r="E14" s="23"/>
      <c r="F14" s="92" t="s">
        <v>88</v>
      </c>
      <c r="G14" s="93" t="s">
        <v>153</v>
      </c>
      <c r="H14" s="90" t="s">
        <v>169</v>
      </c>
      <c r="I14" s="96"/>
      <c r="J14" s="96"/>
      <c r="K14" s="101" t="s">
        <v>151</v>
      </c>
      <c r="L14" s="91"/>
      <c r="M14" s="91"/>
      <c r="N14" s="91"/>
      <c r="O14" s="90" t="s">
        <v>170</v>
      </c>
    </row>
    <row r="15" spans="1:15" ht="27" customHeight="1">
      <c r="B15" s="93">
        <v>7324</v>
      </c>
      <c r="C15" s="93">
        <v>3168</v>
      </c>
      <c r="D15" s="15"/>
      <c r="E15" s="23"/>
      <c r="F15" s="92" t="s">
        <v>73</v>
      </c>
      <c r="G15" s="93" t="s">
        <v>144</v>
      </c>
      <c r="H15" s="90" t="s">
        <v>171</v>
      </c>
      <c r="I15" s="96"/>
      <c r="J15" s="96"/>
      <c r="K15" s="101"/>
      <c r="L15" s="91"/>
      <c r="M15" s="91"/>
      <c r="N15" s="91"/>
      <c r="O15" s="90" t="s">
        <v>172</v>
      </c>
    </row>
    <row r="16" spans="1:15" ht="27" customHeight="1">
      <c r="B16" s="93">
        <v>7325</v>
      </c>
      <c r="C16" s="93">
        <v>5431</v>
      </c>
      <c r="D16" s="15"/>
      <c r="E16" s="23"/>
      <c r="F16" s="92" t="s">
        <v>173</v>
      </c>
      <c r="G16" s="93" t="s">
        <v>174</v>
      </c>
      <c r="H16" s="90" t="s">
        <v>175</v>
      </c>
      <c r="I16" s="96"/>
      <c r="J16" s="96"/>
      <c r="K16" s="101"/>
      <c r="L16" s="91"/>
      <c r="M16" s="91"/>
      <c r="N16" s="91"/>
      <c r="O16" s="90"/>
    </row>
    <row r="17" spans="2:15" ht="21.75" customHeight="1">
      <c r="B17" s="93">
        <v>7327</v>
      </c>
      <c r="C17" s="93">
        <v>2922</v>
      </c>
      <c r="D17" s="15"/>
      <c r="E17" s="23"/>
      <c r="F17" s="92" t="s">
        <v>176</v>
      </c>
      <c r="G17" s="93" t="s">
        <v>144</v>
      </c>
      <c r="H17" s="90" t="s">
        <v>177</v>
      </c>
      <c r="I17" s="96"/>
      <c r="J17" s="96"/>
      <c r="K17" s="101"/>
      <c r="L17" s="91"/>
      <c r="M17" s="91"/>
      <c r="N17" s="91"/>
      <c r="O17" s="90" t="s">
        <v>178</v>
      </c>
    </row>
    <row r="18" spans="2:15" ht="21" customHeight="1">
      <c r="B18" s="93">
        <v>7328</v>
      </c>
      <c r="C18" s="121" t="s">
        <v>179</v>
      </c>
      <c r="D18" s="15"/>
      <c r="E18" s="23"/>
      <c r="F18" s="92" t="s">
        <v>180</v>
      </c>
      <c r="G18" s="93" t="s">
        <v>181</v>
      </c>
      <c r="H18" s="90" t="s">
        <v>182</v>
      </c>
      <c r="I18" s="96"/>
      <c r="J18" s="96"/>
      <c r="K18" s="101"/>
      <c r="L18" s="91"/>
      <c r="M18" s="91"/>
      <c r="N18" s="91"/>
      <c r="O18" s="90"/>
    </row>
    <row r="19" spans="2:15" ht="21" customHeight="1">
      <c r="B19" s="93">
        <v>7329</v>
      </c>
      <c r="C19" s="93">
        <v>2809</v>
      </c>
      <c r="D19" s="15"/>
      <c r="E19" s="23"/>
      <c r="F19" s="92" t="s">
        <v>183</v>
      </c>
      <c r="G19" s="93" t="s">
        <v>139</v>
      </c>
      <c r="H19" s="90"/>
      <c r="I19" s="96"/>
      <c r="J19" s="96"/>
      <c r="K19" s="101"/>
      <c r="L19" s="91"/>
      <c r="M19" s="91"/>
      <c r="N19" s="91"/>
      <c r="O19" s="90"/>
    </row>
    <row r="20" spans="2:15" ht="24" customHeight="1">
      <c r="B20" s="93">
        <v>7331</v>
      </c>
      <c r="C20" s="93">
        <v>8081</v>
      </c>
      <c r="D20" s="15"/>
      <c r="E20" s="23"/>
      <c r="F20" s="92" t="s">
        <v>88</v>
      </c>
      <c r="G20" s="93" t="s">
        <v>153</v>
      </c>
      <c r="H20" s="90" t="s">
        <v>184</v>
      </c>
      <c r="I20" s="96"/>
      <c r="J20" s="96"/>
      <c r="K20" s="101"/>
      <c r="L20" s="91"/>
      <c r="M20" s="91"/>
      <c r="N20" s="91"/>
      <c r="O20" s="90"/>
    </row>
    <row r="21" spans="2:15" ht="21.75" customHeight="1">
      <c r="B21" s="93">
        <v>7332</v>
      </c>
      <c r="C21" s="93">
        <v>3162</v>
      </c>
      <c r="D21" s="15"/>
      <c r="E21" s="23"/>
      <c r="F21" s="92" t="s">
        <v>63</v>
      </c>
      <c r="G21" s="93" t="s">
        <v>144</v>
      </c>
      <c r="H21" s="90" t="s">
        <v>185</v>
      </c>
      <c r="I21" s="96"/>
      <c r="J21" s="96"/>
      <c r="K21" s="101"/>
      <c r="L21" s="91"/>
      <c r="M21" s="91"/>
      <c r="N21" s="91"/>
      <c r="O21" s="90"/>
    </row>
    <row r="22" spans="2:15" ht="21" customHeight="1">
      <c r="B22" s="93">
        <v>7333</v>
      </c>
      <c r="C22" s="93">
        <v>2752</v>
      </c>
      <c r="D22" s="15"/>
      <c r="E22" s="23"/>
      <c r="F22" s="92" t="s">
        <v>88</v>
      </c>
      <c r="G22" s="93" t="s">
        <v>153</v>
      </c>
      <c r="H22" s="90"/>
      <c r="I22" s="96"/>
      <c r="J22" s="96"/>
      <c r="K22" s="101"/>
      <c r="L22" s="91"/>
      <c r="M22" s="91"/>
      <c r="N22" s="91"/>
      <c r="O22" s="90"/>
    </row>
    <row r="23" spans="2:15" ht="21.75" customHeight="1">
      <c r="B23" s="93">
        <v>7334</v>
      </c>
      <c r="C23" s="93">
        <v>2815</v>
      </c>
      <c r="D23" s="15"/>
      <c r="E23" s="23"/>
      <c r="F23" s="92" t="s">
        <v>186</v>
      </c>
      <c r="G23" s="93" t="s">
        <v>139</v>
      </c>
      <c r="H23" s="90"/>
      <c r="I23" s="96"/>
      <c r="J23" s="96"/>
      <c r="K23" s="101"/>
      <c r="L23" s="91"/>
      <c r="M23" s="91"/>
      <c r="N23" s="91"/>
      <c r="O23" s="90"/>
    </row>
    <row r="24" spans="2:15" ht="23.25" customHeight="1">
      <c r="B24" s="93">
        <v>7335</v>
      </c>
      <c r="C24" s="93">
        <v>4697</v>
      </c>
      <c r="D24" s="15"/>
      <c r="E24" s="23"/>
      <c r="F24" s="92" t="s">
        <v>187</v>
      </c>
      <c r="G24" s="93" t="s">
        <v>153</v>
      </c>
      <c r="H24" s="90"/>
      <c r="I24" s="96"/>
      <c r="J24" s="96"/>
      <c r="K24" s="101"/>
      <c r="L24" s="91"/>
      <c r="M24" s="91"/>
      <c r="N24" s="91"/>
      <c r="O24" s="90"/>
    </row>
    <row r="25" spans="2:15" ht="23.25" customHeight="1">
      <c r="B25" s="93">
        <v>7336</v>
      </c>
      <c r="C25" s="93">
        <v>2907</v>
      </c>
      <c r="D25" s="15"/>
      <c r="E25" s="23"/>
      <c r="F25" s="92" t="s">
        <v>188</v>
      </c>
      <c r="G25" s="93" t="s">
        <v>139</v>
      </c>
      <c r="H25" s="90"/>
      <c r="I25" s="96"/>
      <c r="J25" s="96"/>
      <c r="K25" s="101"/>
      <c r="L25" s="91"/>
      <c r="M25" s="91"/>
      <c r="N25" s="91"/>
      <c r="O25" s="90"/>
    </row>
  </sheetData>
  <mergeCells count="15">
    <mergeCell ref="G3:G4"/>
    <mergeCell ref="C3:C4"/>
    <mergeCell ref="B1:E1"/>
    <mergeCell ref="B3:B4"/>
    <mergeCell ref="D3:D4"/>
    <mergeCell ref="E3:E4"/>
    <mergeCell ref="F3:F4"/>
    <mergeCell ref="M3:M4"/>
    <mergeCell ref="N3:N4"/>
    <mergeCell ref="O3:O4"/>
    <mergeCell ref="H3:H4"/>
    <mergeCell ref="I3:I4"/>
    <mergeCell ref="J3:J4"/>
    <mergeCell ref="K3:K4"/>
    <mergeCell ref="L3:L4"/>
  </mergeCells>
  <phoneticPr fontId="1"/>
  <conditionalFormatting sqref="H6:O59">
    <cfRule type="expression" dxfId="19" priority="25">
      <formula>$K6="0 未着手"</formula>
    </cfRule>
    <cfRule type="expression" dxfId="18" priority="26">
      <formula>$K6="1 設計中"</formula>
    </cfRule>
    <cfRule type="expression" dxfId="17" priority="27">
      <formula>$K6="2 製作・手配中"</formula>
    </cfRule>
    <cfRule type="expression" dxfId="16" priority="28">
      <formula>$K6="3 納品済み"</formula>
    </cfRule>
    <cfRule type="expression" dxfId="15" priority="29">
      <formula>$K6="4 施工中"</formula>
    </cfRule>
    <cfRule type="expression" dxfId="14" priority="30">
      <formula>$K6="5 確認中"</formula>
    </cfRule>
    <cfRule type="expression" dxfId="13" priority="31">
      <formula>$K6="6 完了"</formula>
    </cfRule>
    <cfRule type="expression" dxfId="12" priority="32">
      <formula>$K6="7 ペンディング"</formula>
    </cfRule>
    <cfRule type="expression" dxfId="11" priority="33">
      <formula>$K6="8 キャンセル"</formula>
    </cfRule>
    <cfRule type="expression" dxfId="10" priority="34">
      <formula>$K6="9 現地対応"</formula>
    </cfRule>
  </conditionalFormatting>
  <conditionalFormatting sqref="H5:O5">
    <cfRule type="expression" dxfId="9" priority="11">
      <formula>$K5="0 未着手"</formula>
    </cfRule>
    <cfRule type="expression" dxfId="8" priority="12">
      <formula>$K5="1 設計中"</formula>
    </cfRule>
    <cfRule type="expression" dxfId="7" priority="13">
      <formula>$K5="2 製作・手配中"</formula>
    </cfRule>
    <cfRule type="expression" dxfId="6" priority="14">
      <formula>$K5="3 納品済み"</formula>
    </cfRule>
    <cfRule type="expression" dxfId="5" priority="15">
      <formula>$K5="4 施工中"</formula>
    </cfRule>
    <cfRule type="expression" dxfId="4" priority="16">
      <formula>$K5="5 確認中"</formula>
    </cfRule>
    <cfRule type="expression" dxfId="3" priority="17">
      <formula>$K5="6 完了"</formula>
    </cfRule>
    <cfRule type="expression" dxfId="2" priority="18">
      <formula>$K5="7 ペンディング"</formula>
    </cfRule>
    <cfRule type="expression" dxfId="1" priority="19">
      <formula>$K5="8 キャンセル"</formula>
    </cfRule>
    <cfRule type="expression" dxfId="0" priority="20">
      <formula>$K5="9 現地対応"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FBC782-F7CA-4141-826A-A31CE1988FF5}">
          <x14:formula1>
            <xm:f>進捗状況!$D$3:$D$12</xm:f>
          </x14:formula1>
          <xm:sqref>K5:K25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6DF5-5848-428D-A8C9-3BB8429A2D12}">
  <dimension ref="B4:B6"/>
  <sheetViews>
    <sheetView workbookViewId="0">
      <selection activeCell="B4" sqref="B4"/>
    </sheetView>
  </sheetViews>
  <sheetFormatPr defaultRowHeight="18.75"/>
  <sheetData>
    <row r="4" spans="2:2">
      <c r="B4" s="2" t="s">
        <v>24</v>
      </c>
    </row>
    <row r="5" spans="2:2">
      <c r="B5" s="1" t="s">
        <v>28</v>
      </c>
    </row>
    <row r="6" spans="2:2">
      <c r="B6" s="3" t="s">
        <v>23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EFA9-7DC4-4125-BC4D-102AA55569AF}">
  <sheetPr codeName="Sheet2">
    <tabColor theme="1"/>
  </sheetPr>
  <dimension ref="B2:D13"/>
  <sheetViews>
    <sheetView zoomScale="144" workbookViewId="0">
      <selection activeCell="F20" sqref="F20"/>
    </sheetView>
  </sheetViews>
  <sheetFormatPr defaultRowHeight="15" customHeight="1"/>
  <cols>
    <col min="1" max="1" width="1.625" style="5" customWidth="1"/>
    <col min="2" max="2" width="7" style="10" customWidth="1"/>
    <col min="3" max="3" width="10.625" style="5" customWidth="1"/>
    <col min="4" max="4" width="12" style="5" customWidth="1"/>
    <col min="5" max="16384" width="9" style="5"/>
  </cols>
  <sheetData>
    <row r="2" spans="2:4" ht="15" customHeight="1">
      <c r="B2" s="4" t="s">
        <v>189</v>
      </c>
      <c r="C2" s="4" t="s">
        <v>133</v>
      </c>
      <c r="D2" s="4" t="s">
        <v>190</v>
      </c>
    </row>
    <row r="3" spans="2:4" ht="15" customHeight="1">
      <c r="B3" s="6">
        <v>0</v>
      </c>
      <c r="C3" s="7" t="s">
        <v>191</v>
      </c>
      <c r="D3" s="7" t="str">
        <f>B3&amp;" "&amp;C3</f>
        <v>0 未着手</v>
      </c>
    </row>
    <row r="4" spans="2:4" ht="15" customHeight="1">
      <c r="B4" s="6">
        <v>1</v>
      </c>
      <c r="C4" s="7" t="s">
        <v>192</v>
      </c>
      <c r="D4" s="7" t="str">
        <f t="shared" ref="D4:D12" si="0">B4&amp;" "&amp;C4</f>
        <v>1 設計中</v>
      </c>
    </row>
    <row r="5" spans="2:4" ht="15" customHeight="1">
      <c r="B5" s="6">
        <v>2</v>
      </c>
      <c r="C5" s="7" t="s">
        <v>193</v>
      </c>
      <c r="D5" s="7" t="str">
        <f t="shared" si="0"/>
        <v>2 製作・手配中</v>
      </c>
    </row>
    <row r="6" spans="2:4" ht="15" customHeight="1">
      <c r="B6" s="6">
        <v>3</v>
      </c>
      <c r="C6" s="7" t="s">
        <v>194</v>
      </c>
      <c r="D6" s="7" t="str">
        <f t="shared" si="0"/>
        <v>3 納品済み</v>
      </c>
    </row>
    <row r="7" spans="2:4" ht="15" customHeight="1">
      <c r="B7" s="6">
        <v>4</v>
      </c>
      <c r="C7" s="7" t="s">
        <v>195</v>
      </c>
      <c r="D7" s="7" t="str">
        <f t="shared" si="0"/>
        <v>4 施工中</v>
      </c>
    </row>
    <row r="8" spans="2:4" ht="15" customHeight="1">
      <c r="B8" s="6">
        <v>5</v>
      </c>
      <c r="C8" s="7" t="s">
        <v>196</v>
      </c>
      <c r="D8" s="7" t="str">
        <f t="shared" si="0"/>
        <v>5 確認中</v>
      </c>
    </row>
    <row r="9" spans="2:4" ht="15" customHeight="1">
      <c r="B9" s="6">
        <v>6</v>
      </c>
      <c r="C9" s="7" t="s">
        <v>197</v>
      </c>
      <c r="D9" s="7" t="str">
        <f t="shared" si="0"/>
        <v>6 完了</v>
      </c>
    </row>
    <row r="10" spans="2:4" ht="15" customHeight="1">
      <c r="B10" s="6">
        <v>7</v>
      </c>
      <c r="C10" s="7" t="s">
        <v>198</v>
      </c>
      <c r="D10" s="7" t="str">
        <f t="shared" si="0"/>
        <v>7 ペンディング</v>
      </c>
    </row>
    <row r="11" spans="2:4" ht="15" customHeight="1">
      <c r="B11" s="6">
        <v>8</v>
      </c>
      <c r="C11" s="7" t="s">
        <v>199</v>
      </c>
      <c r="D11" s="7" t="str">
        <f t="shared" si="0"/>
        <v>8 キャンセル</v>
      </c>
    </row>
    <row r="12" spans="2:4" ht="15" customHeight="1">
      <c r="B12" s="6">
        <v>9</v>
      </c>
      <c r="C12" s="7" t="s">
        <v>200</v>
      </c>
      <c r="D12" s="7" t="str">
        <f t="shared" si="0"/>
        <v>9 現地対応</v>
      </c>
    </row>
    <row r="13" spans="2:4" ht="15" customHeight="1">
      <c r="B13" s="8"/>
      <c r="C13" s="9"/>
      <c r="D13" s="9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bb079b-a527-4a52-9d60-620b029ffd51" xsi:nil="true"/>
    <lcf76f155ced4ddcb4097134ff3c332f xmlns="4e4d9810-20c0-4a26-bc7d-4767dc9559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97A69CD6B6FE409F618AA1FE2C1242" ma:contentTypeVersion="11" ma:contentTypeDescription="新しいドキュメントを作成します。" ma:contentTypeScope="" ma:versionID="9758da3c8fa8c9fe6568383df409d31d">
  <xsd:schema xmlns:xsd="http://www.w3.org/2001/XMLSchema" xmlns:xs="http://www.w3.org/2001/XMLSchema" xmlns:p="http://schemas.microsoft.com/office/2006/metadata/properties" xmlns:ns2="4e4d9810-20c0-4a26-bc7d-4767dc9559b3" xmlns:ns3="b1bb079b-a527-4a52-9d60-620b029ffd51" targetNamespace="http://schemas.microsoft.com/office/2006/metadata/properties" ma:root="true" ma:fieldsID="1de6b7e9b4b68ad817361465615279b7" ns2:_="" ns3:_="">
    <xsd:import namespace="4e4d9810-20c0-4a26-bc7d-4767dc9559b3"/>
    <xsd:import namespace="b1bb079b-a527-4a52-9d60-620b029ffd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4d9810-20c0-4a26-bc7d-4767dc9559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9b607470-35b2-45b4-b99a-c3ebf6346e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079b-a527-4a52-9d60-620b029ffd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1338417-2bc5-4acf-b7c5-efa8b71afb0f}" ma:internalName="TaxCatchAll" ma:showField="CatchAllData" ma:web="b1bb079b-a527-4a52-9d60-620b029ffd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3E5E24-7320-49A1-A3D9-C18A3439F011}"/>
</file>

<file path=customXml/itemProps2.xml><?xml version="1.0" encoding="utf-8"?>
<ds:datastoreItem xmlns:ds="http://schemas.openxmlformats.org/officeDocument/2006/customXml" ds:itemID="{393CAA0E-163A-4BD0-8DAB-1D943B825F5C}"/>
</file>

<file path=customXml/itemProps3.xml><?xml version="1.0" encoding="utf-8"?>
<ds:datastoreItem xmlns:ds="http://schemas.openxmlformats.org/officeDocument/2006/customXml" ds:itemID="{33E1B90C-95C1-400F-A591-2BA3568E6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森村 象平</dc:creator>
  <cp:keywords/>
  <dc:description/>
  <cp:lastModifiedBy>黒崎 恵未</cp:lastModifiedBy>
  <cp:revision/>
  <dcterms:created xsi:type="dcterms:W3CDTF">2024-12-08T22:48:44Z</dcterms:created>
  <dcterms:modified xsi:type="dcterms:W3CDTF">2026-07-08T03:56:45Z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0x010100E497A69CD6B6FE409F618AA1FE2C1242</vt:lpwstr>
  </property>
  <property fmtid="{D5CDD505-2E9C-101B-9397-08002B2CF9AE}" pid="3" name="MediaServiceImageTags">
    <vt:lpwstr/>
  </property>
</Properties>
</file>